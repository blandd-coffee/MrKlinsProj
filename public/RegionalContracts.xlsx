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eriecotech-my.sharepoint.com/personal/jklins_ects_org/Documents/AFT/"/>
    </mc:Choice>
  </mc:AlternateContent>
  <xr:revisionPtr revIDLastSave="0" documentId="8_{78FD5BD1-C0BF-411F-A664-B5B0AC4D0A0F}" xr6:coauthVersionLast="47" xr6:coauthVersionMax="47" xr10:uidLastSave="{00000000-0000-0000-0000-000000000000}"/>
  <bookViews>
    <workbookView xWindow="-108" yWindow="-108" windowWidth="23256" windowHeight="12456" firstSheet="7" activeTab="4" xr2:uid="{360EBC2F-D2AA-42D8-8302-1D1E00C6164B}"/>
  </bookViews>
  <sheets>
    <sheet name="Crawford Central School 26-27" sheetId="1" r:id="rId1"/>
    <sheet name="Corry 23-24" sheetId="2" r:id="rId2"/>
    <sheet name="Mercer 26-27" sheetId="3" r:id="rId3"/>
    <sheet name="Erie School District 26-27" sheetId="7" r:id="rId4"/>
    <sheet name="North East 26-27" sheetId="10" r:id="rId5"/>
    <sheet name="ECTS 26-27" sheetId="4" r:id="rId6"/>
    <sheet name="Data" sheetId="6" r:id="rId7"/>
    <sheet name="Data- With Avg Workday Adjustme" sheetId="8" r:id="rId8"/>
    <sheet name="Additional Not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6" l="1"/>
  <c r="H56" i="6"/>
  <c r="H57" i="6"/>
  <c r="H58" i="6"/>
  <c r="H59" i="6"/>
  <c r="H60" i="6"/>
  <c r="H61" i="6"/>
  <c r="H62" i="6"/>
  <c r="H63" i="6"/>
  <c r="H64" i="6"/>
  <c r="H65" i="6"/>
  <c r="H66" i="6"/>
  <c r="H67" i="6"/>
  <c r="H68" i="6"/>
  <c r="H69" i="6"/>
  <c r="H70" i="6"/>
  <c r="H71" i="6"/>
  <c r="H72" i="6"/>
  <c r="H73" i="6"/>
  <c r="H74" i="6"/>
  <c r="H54" i="6"/>
  <c r="E55" i="6"/>
  <c r="E56" i="6"/>
  <c r="E57" i="6"/>
  <c r="E58" i="6"/>
  <c r="E59" i="6"/>
  <c r="E60" i="6"/>
  <c r="E61" i="6"/>
  <c r="E62" i="6"/>
  <c r="E63" i="6"/>
  <c r="E64" i="6"/>
  <c r="E65" i="6"/>
  <c r="E66" i="6"/>
  <c r="E67" i="6"/>
  <c r="E68" i="6"/>
  <c r="E69" i="6"/>
  <c r="E70" i="6"/>
  <c r="E71" i="6"/>
  <c r="E72" i="6"/>
  <c r="E73" i="6"/>
  <c r="E74" i="6"/>
  <c r="E54" i="6"/>
  <c r="B55" i="6"/>
  <c r="B56" i="6"/>
  <c r="B57" i="6"/>
  <c r="B58" i="6"/>
  <c r="B59" i="6"/>
  <c r="B60" i="6"/>
  <c r="B61" i="6"/>
  <c r="B62" i="6"/>
  <c r="B63" i="6"/>
  <c r="B64" i="6"/>
  <c r="B65" i="6"/>
  <c r="B66" i="6"/>
  <c r="B67" i="6"/>
  <c r="B68" i="6"/>
  <c r="B69" i="6"/>
  <c r="B70" i="6"/>
  <c r="B71" i="6"/>
  <c r="B72" i="6"/>
  <c r="B73" i="6"/>
  <c r="B74" i="6"/>
  <c r="B54" i="6"/>
  <c r="H30" i="6"/>
  <c r="H31" i="6"/>
  <c r="H32" i="6"/>
  <c r="H33" i="6"/>
  <c r="H34" i="6"/>
  <c r="H35" i="6"/>
  <c r="H36" i="6"/>
  <c r="H37" i="6"/>
  <c r="H38" i="6"/>
  <c r="H39" i="6"/>
  <c r="H40" i="6"/>
  <c r="H41" i="6"/>
  <c r="H42" i="6"/>
  <c r="H43" i="6"/>
  <c r="H44" i="6"/>
  <c r="H45" i="6"/>
  <c r="H46" i="6"/>
  <c r="H47" i="6"/>
  <c r="H48" i="6"/>
  <c r="H49" i="6"/>
  <c r="H29" i="6"/>
  <c r="E30" i="6"/>
  <c r="E31" i="6"/>
  <c r="E32" i="6"/>
  <c r="E33" i="6"/>
  <c r="E34" i="6"/>
  <c r="E35" i="6"/>
  <c r="E36" i="6"/>
  <c r="E37" i="6"/>
  <c r="E38" i="6"/>
  <c r="E39" i="6"/>
  <c r="E40" i="6"/>
  <c r="E41" i="6"/>
  <c r="E42" i="6"/>
  <c r="E43" i="6"/>
  <c r="E44" i="6"/>
  <c r="E45" i="6"/>
  <c r="E46" i="6"/>
  <c r="E47" i="6"/>
  <c r="E48" i="6"/>
  <c r="E49" i="6"/>
  <c r="E29" i="6"/>
  <c r="B30" i="6"/>
  <c r="B31" i="6"/>
  <c r="B32" i="6"/>
  <c r="B33" i="6"/>
  <c r="B34" i="6"/>
  <c r="B35" i="6"/>
  <c r="B36" i="6"/>
  <c r="B37" i="6"/>
  <c r="B38" i="6"/>
  <c r="B39" i="6"/>
  <c r="B40" i="6"/>
  <c r="B41" i="6"/>
  <c r="B42" i="6"/>
  <c r="B43" i="6"/>
  <c r="B44" i="6"/>
  <c r="B45" i="6"/>
  <c r="B46" i="6"/>
  <c r="B47" i="6"/>
  <c r="B48" i="6"/>
  <c r="B49" i="6"/>
  <c r="B29" i="6"/>
  <c r="J6" i="8"/>
  <c r="G6" i="8"/>
  <c r="D6" i="8"/>
  <c r="A6" i="8"/>
  <c r="B32" i="4"/>
  <c r="B33" i="7"/>
  <c r="B30" i="3"/>
  <c r="B32" i="3" s="1"/>
  <c r="B33" i="2"/>
  <c r="B35" i="1"/>
  <c r="B33" i="1"/>
  <c r="B31" i="2"/>
  <c r="B30" i="4"/>
  <c r="B31" i="7"/>
  <c r="J74" i="6"/>
  <c r="G74" i="6"/>
  <c r="D74" i="6"/>
  <c r="J73" i="6"/>
  <c r="G73" i="6"/>
  <c r="D73" i="6"/>
  <c r="J72" i="6"/>
  <c r="G72" i="6"/>
  <c r="D72" i="6"/>
  <c r="J71" i="6"/>
  <c r="G71" i="6"/>
  <c r="D71" i="6"/>
  <c r="J70" i="6"/>
  <c r="G70" i="6"/>
  <c r="D70" i="6"/>
  <c r="J69" i="6"/>
  <c r="G69" i="6"/>
  <c r="D69" i="6"/>
  <c r="J68" i="6"/>
  <c r="G68" i="6"/>
  <c r="D68" i="6"/>
  <c r="J67" i="6"/>
  <c r="G67" i="6"/>
  <c r="D67" i="6"/>
  <c r="J66" i="6"/>
  <c r="G66" i="6"/>
  <c r="D66" i="6"/>
  <c r="J65" i="6"/>
  <c r="G65" i="6"/>
  <c r="D65" i="6"/>
  <c r="J64" i="6"/>
  <c r="G64" i="6"/>
  <c r="D64" i="6"/>
  <c r="J63" i="6"/>
  <c r="G63" i="6"/>
  <c r="D63" i="6"/>
  <c r="J62" i="6"/>
  <c r="G62" i="6"/>
  <c r="D62" i="6"/>
  <c r="J61" i="6"/>
  <c r="G61" i="6"/>
  <c r="D61" i="6"/>
  <c r="J60" i="6"/>
  <c r="G60" i="6"/>
  <c r="D60" i="6"/>
  <c r="J59" i="6"/>
  <c r="G59" i="6"/>
  <c r="D59" i="6"/>
  <c r="J58" i="6"/>
  <c r="G58" i="6"/>
  <c r="D58" i="6"/>
  <c r="J57" i="6"/>
  <c r="G57" i="6"/>
  <c r="D57" i="6"/>
  <c r="J56" i="6"/>
  <c r="G56" i="6"/>
  <c r="D56" i="6"/>
  <c r="J55" i="6"/>
  <c r="G55" i="6"/>
  <c r="D55" i="6"/>
  <c r="J49" i="6"/>
  <c r="G49" i="6"/>
  <c r="D49" i="6"/>
  <c r="J48" i="6"/>
  <c r="G48" i="6"/>
  <c r="D48" i="6"/>
  <c r="J47" i="6"/>
  <c r="G47" i="6"/>
  <c r="D47" i="6"/>
  <c r="J46" i="6"/>
  <c r="G46" i="6"/>
  <c r="D46" i="6"/>
  <c r="J45" i="6"/>
  <c r="G45" i="6"/>
  <c r="D45" i="6"/>
  <c r="J44" i="6"/>
  <c r="G44" i="6"/>
  <c r="D44" i="6"/>
  <c r="J43" i="6"/>
  <c r="G43" i="6"/>
  <c r="D43" i="6"/>
  <c r="J42" i="6"/>
  <c r="G42" i="6"/>
  <c r="D42" i="6"/>
  <c r="J41" i="6"/>
  <c r="G41" i="6"/>
  <c r="D41" i="6"/>
  <c r="J40" i="6"/>
  <c r="G40" i="6"/>
  <c r="D40" i="6"/>
  <c r="J39" i="6"/>
  <c r="G39" i="6"/>
  <c r="D39" i="6"/>
  <c r="J38" i="6"/>
  <c r="G38" i="6"/>
  <c r="D38" i="6"/>
  <c r="J37" i="6"/>
  <c r="G37" i="6"/>
  <c r="D37" i="6"/>
  <c r="J36" i="6"/>
  <c r="G36" i="6"/>
  <c r="D36" i="6"/>
  <c r="J35" i="6"/>
  <c r="G35" i="6"/>
  <c r="D35" i="6"/>
  <c r="J34" i="6"/>
  <c r="G34" i="6"/>
  <c r="D34" i="6"/>
  <c r="J33" i="6"/>
  <c r="G33" i="6"/>
  <c r="D33" i="6"/>
  <c r="J32" i="6"/>
  <c r="G32" i="6"/>
  <c r="D32" i="6"/>
  <c r="J31" i="6"/>
  <c r="G31" i="6"/>
  <c r="D31" i="6"/>
  <c r="J30" i="6"/>
  <c r="G30" i="6"/>
  <c r="D30" i="6"/>
  <c r="H5" i="6"/>
  <c r="H6" i="6"/>
  <c r="H7" i="6"/>
  <c r="H8" i="6"/>
  <c r="H9" i="6"/>
  <c r="H10" i="6"/>
  <c r="H11" i="6"/>
  <c r="H12" i="6"/>
  <c r="H13" i="6"/>
  <c r="H14" i="6"/>
  <c r="H15" i="6"/>
  <c r="H16" i="6"/>
  <c r="H17" i="6"/>
  <c r="H18" i="6"/>
  <c r="H19" i="6"/>
  <c r="H20" i="6"/>
  <c r="H21" i="6"/>
  <c r="H22" i="6"/>
  <c r="H23" i="6"/>
  <c r="H24" i="6"/>
  <c r="H4" i="6"/>
  <c r="E5" i="6"/>
  <c r="E6" i="6"/>
  <c r="E7" i="6"/>
  <c r="E8" i="6"/>
  <c r="E9" i="6"/>
  <c r="E10" i="6"/>
  <c r="E11" i="6"/>
  <c r="E12" i="6"/>
  <c r="E13" i="6"/>
  <c r="E14" i="6"/>
  <c r="E15" i="6"/>
  <c r="E16" i="6"/>
  <c r="E17" i="6"/>
  <c r="E18" i="6"/>
  <c r="E19" i="6"/>
  <c r="E20" i="6"/>
  <c r="E21" i="6"/>
  <c r="E22" i="6"/>
  <c r="E23" i="6"/>
  <c r="E24" i="6"/>
  <c r="E4" i="6"/>
  <c r="B5" i="6"/>
  <c r="B6" i="6"/>
  <c r="B7" i="6"/>
  <c r="B8" i="6"/>
  <c r="B9" i="6"/>
  <c r="B10" i="6"/>
  <c r="B11" i="6"/>
  <c r="B12" i="6"/>
  <c r="B13" i="6"/>
  <c r="B14" i="6"/>
  <c r="B15" i="6"/>
  <c r="B16" i="6"/>
  <c r="B17" i="6"/>
  <c r="B18" i="6"/>
  <c r="B19" i="6"/>
  <c r="B20" i="6"/>
  <c r="B21" i="6"/>
  <c r="B22" i="6"/>
  <c r="B23" i="6"/>
  <c r="B24" i="6"/>
  <c r="B4" i="6"/>
  <c r="X4" i="7"/>
  <c r="X5" i="7"/>
  <c r="X6" i="7"/>
  <c r="X7" i="7"/>
  <c r="X8" i="7"/>
  <c r="X9" i="7"/>
  <c r="X10" i="7"/>
  <c r="X11" i="7"/>
  <c r="X12" i="7"/>
  <c r="X13" i="7"/>
  <c r="X14" i="7"/>
  <c r="X15" i="7"/>
  <c r="X16" i="7"/>
  <c r="X17" i="7"/>
  <c r="X18" i="7"/>
  <c r="X19" i="7"/>
  <c r="X20" i="7"/>
  <c r="X21" i="7"/>
  <c r="X22" i="7"/>
  <c r="X3" i="7"/>
  <c r="I4" i="3"/>
  <c r="I5" i="3"/>
  <c r="I6" i="3"/>
  <c r="I7" i="3"/>
  <c r="I8" i="3"/>
  <c r="I9" i="3"/>
  <c r="I10" i="3"/>
  <c r="I11" i="3"/>
  <c r="I12" i="3"/>
  <c r="I13" i="3"/>
  <c r="I14" i="3"/>
  <c r="I15" i="3"/>
  <c r="I16" i="3"/>
  <c r="I17" i="3"/>
  <c r="I18" i="3"/>
  <c r="I19" i="3"/>
  <c r="I20" i="3"/>
  <c r="I21" i="3"/>
  <c r="I22" i="3"/>
  <c r="I3" i="3"/>
  <c r="N5" i="2"/>
  <c r="N6" i="2"/>
  <c r="N7" i="2"/>
  <c r="N8" i="2"/>
  <c r="N9" i="2"/>
  <c r="N10" i="2"/>
  <c r="N11" i="2"/>
  <c r="N12" i="2"/>
  <c r="N13" i="2"/>
  <c r="N14" i="2"/>
  <c r="N15" i="2"/>
  <c r="N16" i="2"/>
  <c r="N17" i="2"/>
  <c r="N18" i="2"/>
  <c r="N19" i="2"/>
  <c r="N20" i="2"/>
  <c r="N21" i="2"/>
  <c r="N22" i="2"/>
  <c r="N23" i="2"/>
  <c r="N4" i="2"/>
  <c r="L4" i="1"/>
  <c r="L5" i="1"/>
  <c r="L6" i="1"/>
  <c r="L7" i="1"/>
  <c r="L8" i="1"/>
  <c r="L9" i="1"/>
  <c r="L10" i="1"/>
  <c r="L11" i="1"/>
  <c r="L12" i="1"/>
  <c r="L13" i="1"/>
  <c r="L14" i="1"/>
  <c r="L15" i="1"/>
  <c r="L16" i="1"/>
  <c r="L17" i="1"/>
  <c r="L18" i="1"/>
  <c r="L19" i="1"/>
  <c r="L20" i="1"/>
  <c r="L21" i="1"/>
  <c r="L22" i="1"/>
  <c r="L3" i="1"/>
  <c r="J24" i="6"/>
  <c r="J23" i="6"/>
  <c r="J22" i="6"/>
  <c r="J21" i="6"/>
  <c r="J20" i="6"/>
  <c r="J19" i="6"/>
  <c r="J18" i="6"/>
  <c r="J17" i="6"/>
  <c r="J16" i="6"/>
  <c r="J15" i="6"/>
  <c r="J14" i="6"/>
  <c r="J13" i="6"/>
  <c r="J12" i="6"/>
  <c r="J11" i="6"/>
  <c r="J10" i="6"/>
  <c r="J9" i="6"/>
  <c r="J8" i="6"/>
  <c r="J7" i="6"/>
  <c r="J6" i="6"/>
  <c r="J5" i="6"/>
  <c r="G5" i="6"/>
  <c r="G6" i="6"/>
  <c r="G7" i="6"/>
  <c r="G8" i="6"/>
  <c r="G9" i="6"/>
  <c r="G10" i="6"/>
  <c r="G11" i="6"/>
  <c r="G12" i="6"/>
  <c r="G13" i="6"/>
  <c r="G14" i="6"/>
  <c r="G15" i="6"/>
  <c r="G16" i="6"/>
  <c r="G17" i="6"/>
  <c r="G18" i="6"/>
  <c r="G19" i="6"/>
  <c r="G20" i="6"/>
  <c r="G21" i="6"/>
  <c r="G22" i="6"/>
  <c r="G23" i="6"/>
  <c r="G24" i="6"/>
  <c r="D5" i="6"/>
  <c r="D6" i="6"/>
  <c r="D7" i="6"/>
  <c r="D8" i="6"/>
  <c r="D9" i="6"/>
  <c r="D10" i="6"/>
  <c r="D11" i="6"/>
  <c r="D12" i="6"/>
  <c r="D13" i="6"/>
  <c r="D14" i="6"/>
  <c r="D15" i="6"/>
  <c r="D16" i="6"/>
  <c r="D17" i="6"/>
  <c r="D18" i="6"/>
  <c r="D19" i="6"/>
  <c r="D20" i="6"/>
  <c r="D21" i="6"/>
  <c r="D22" i="6"/>
  <c r="D23" i="6"/>
  <c r="D24" i="6"/>
  <c r="K6" i="8" l="1"/>
  <c r="H6" i="8"/>
  <c r="E6" i="8"/>
  <c r="B6" i="8"/>
  <c r="C6" i="8"/>
  <c r="F6" i="8"/>
  <c r="I6" i="8"/>
  <c r="L6" i="8"/>
  <c r="B8" i="8" l="1"/>
  <c r="H64" i="8" l="1"/>
  <c r="J64" i="8" s="1"/>
  <c r="H65" i="8"/>
  <c r="J65" i="8" s="1"/>
  <c r="H66" i="8"/>
  <c r="J66" i="8" s="1"/>
  <c r="H67" i="8"/>
  <c r="J67" i="8" s="1"/>
  <c r="H68" i="8"/>
  <c r="J68" i="8" s="1"/>
  <c r="H69" i="8"/>
  <c r="J69" i="8" s="1"/>
  <c r="H70" i="8"/>
  <c r="J70" i="8" s="1"/>
  <c r="H71" i="8"/>
  <c r="J71" i="8" s="1"/>
  <c r="H72" i="8"/>
  <c r="J72" i="8" s="1"/>
  <c r="H73" i="8"/>
  <c r="J73" i="8" s="1"/>
  <c r="H74" i="8"/>
  <c r="J74" i="8" s="1"/>
  <c r="H75" i="8"/>
  <c r="J75" i="8" s="1"/>
  <c r="H76" i="8"/>
  <c r="J76" i="8" s="1"/>
  <c r="H77" i="8"/>
  <c r="J77" i="8" s="1"/>
  <c r="H78" i="8"/>
  <c r="J78" i="8" s="1"/>
  <c r="H79" i="8"/>
  <c r="J79" i="8" s="1"/>
  <c r="H80" i="8"/>
  <c r="J80" i="8" s="1"/>
  <c r="H81" i="8"/>
  <c r="J81" i="8" s="1"/>
  <c r="H82" i="8"/>
  <c r="J82" i="8" s="1"/>
  <c r="H83" i="8"/>
  <c r="J83" i="8" s="1"/>
  <c r="H63" i="8"/>
  <c r="E64" i="8"/>
  <c r="G64" i="8" s="1"/>
  <c r="E65" i="8"/>
  <c r="G65" i="8" s="1"/>
  <c r="E66" i="8"/>
  <c r="G66" i="8" s="1"/>
  <c r="E67" i="8"/>
  <c r="G67" i="8" s="1"/>
  <c r="E68" i="8"/>
  <c r="G68" i="8" s="1"/>
  <c r="E69" i="8"/>
  <c r="G69" i="8" s="1"/>
  <c r="E70" i="8"/>
  <c r="G70" i="8" s="1"/>
  <c r="E71" i="8"/>
  <c r="G71" i="8" s="1"/>
  <c r="E72" i="8"/>
  <c r="G72" i="8" s="1"/>
  <c r="E73" i="8"/>
  <c r="G73" i="8" s="1"/>
  <c r="E74" i="8"/>
  <c r="G74" i="8" s="1"/>
  <c r="E75" i="8"/>
  <c r="G75" i="8" s="1"/>
  <c r="E76" i="8"/>
  <c r="G76" i="8" s="1"/>
  <c r="E77" i="8"/>
  <c r="G77" i="8" s="1"/>
  <c r="E78" i="8"/>
  <c r="G78" i="8" s="1"/>
  <c r="E79" i="8"/>
  <c r="G79" i="8" s="1"/>
  <c r="E80" i="8"/>
  <c r="G80" i="8" s="1"/>
  <c r="E81" i="8"/>
  <c r="G81" i="8" s="1"/>
  <c r="E82" i="8"/>
  <c r="G82" i="8" s="1"/>
  <c r="E83" i="8"/>
  <c r="G83" i="8" s="1"/>
  <c r="E63" i="8"/>
  <c r="B64" i="8"/>
  <c r="D64" i="8" s="1"/>
  <c r="B65" i="8"/>
  <c r="D65" i="8" s="1"/>
  <c r="B66" i="8"/>
  <c r="D66" i="8" s="1"/>
  <c r="B67" i="8"/>
  <c r="D67" i="8" s="1"/>
  <c r="B68" i="8"/>
  <c r="D68" i="8" s="1"/>
  <c r="B69" i="8"/>
  <c r="D69" i="8" s="1"/>
  <c r="B70" i="8"/>
  <c r="D70" i="8" s="1"/>
  <c r="B71" i="8"/>
  <c r="D71" i="8" s="1"/>
  <c r="B72" i="8"/>
  <c r="D72" i="8" s="1"/>
  <c r="B73" i="8"/>
  <c r="D73" i="8" s="1"/>
  <c r="B74" i="8"/>
  <c r="D74" i="8" s="1"/>
  <c r="B75" i="8"/>
  <c r="D75" i="8" s="1"/>
  <c r="B76" i="8"/>
  <c r="D76" i="8" s="1"/>
  <c r="B77" i="8"/>
  <c r="D77" i="8" s="1"/>
  <c r="B78" i="8"/>
  <c r="D78" i="8" s="1"/>
  <c r="B79" i="8"/>
  <c r="D79" i="8" s="1"/>
  <c r="B80" i="8"/>
  <c r="D80" i="8" s="1"/>
  <c r="B81" i="8"/>
  <c r="D81" i="8" s="1"/>
  <c r="B82" i="8"/>
  <c r="D82" i="8" s="1"/>
  <c r="B83" i="8"/>
  <c r="D83" i="8" s="1"/>
  <c r="B63" i="8"/>
  <c r="H39" i="8"/>
  <c r="J39" i="8" s="1"/>
  <c r="H40" i="8"/>
  <c r="J40" i="8" s="1"/>
  <c r="H41" i="8"/>
  <c r="J41" i="8" s="1"/>
  <c r="H42" i="8"/>
  <c r="J42" i="8" s="1"/>
  <c r="H43" i="8"/>
  <c r="J43" i="8" s="1"/>
  <c r="H44" i="8"/>
  <c r="J44" i="8" s="1"/>
  <c r="H45" i="8"/>
  <c r="J45" i="8" s="1"/>
  <c r="H46" i="8"/>
  <c r="J46" i="8" s="1"/>
  <c r="H47" i="8"/>
  <c r="J47" i="8" s="1"/>
  <c r="H48" i="8"/>
  <c r="J48" i="8" s="1"/>
  <c r="H49" i="8"/>
  <c r="J49" i="8" s="1"/>
  <c r="H50" i="8"/>
  <c r="J50" i="8" s="1"/>
  <c r="H51" i="8"/>
  <c r="J51" i="8" s="1"/>
  <c r="H52" i="8"/>
  <c r="J52" i="8" s="1"/>
  <c r="H53" i="8"/>
  <c r="J53" i="8" s="1"/>
  <c r="H54" i="8"/>
  <c r="J54" i="8" s="1"/>
  <c r="H55" i="8"/>
  <c r="J55" i="8" s="1"/>
  <c r="H56" i="8"/>
  <c r="J56" i="8" s="1"/>
  <c r="H57" i="8"/>
  <c r="J57" i="8" s="1"/>
  <c r="H58" i="8"/>
  <c r="J58" i="8" s="1"/>
  <c r="H38" i="8"/>
  <c r="E39" i="8"/>
  <c r="G39" i="8" s="1"/>
  <c r="E40" i="8"/>
  <c r="G40" i="8" s="1"/>
  <c r="E41" i="8"/>
  <c r="G41" i="8" s="1"/>
  <c r="E42" i="8"/>
  <c r="G42" i="8" s="1"/>
  <c r="E43" i="8"/>
  <c r="G43" i="8" s="1"/>
  <c r="E44" i="8"/>
  <c r="G44" i="8" s="1"/>
  <c r="E45" i="8"/>
  <c r="G45" i="8" s="1"/>
  <c r="E46" i="8"/>
  <c r="G46" i="8" s="1"/>
  <c r="E47" i="8"/>
  <c r="G47" i="8" s="1"/>
  <c r="E48" i="8"/>
  <c r="G48" i="8" s="1"/>
  <c r="E49" i="8"/>
  <c r="G49" i="8" s="1"/>
  <c r="E50" i="8"/>
  <c r="G50" i="8" s="1"/>
  <c r="E51" i="8"/>
  <c r="G51" i="8" s="1"/>
  <c r="E52" i="8"/>
  <c r="G52" i="8" s="1"/>
  <c r="E53" i="8"/>
  <c r="G53" i="8" s="1"/>
  <c r="E54" i="8"/>
  <c r="G54" i="8" s="1"/>
  <c r="E55" i="8"/>
  <c r="G55" i="8" s="1"/>
  <c r="E56" i="8"/>
  <c r="G56" i="8" s="1"/>
  <c r="E57" i="8"/>
  <c r="G57" i="8" s="1"/>
  <c r="E58" i="8"/>
  <c r="G58" i="8" s="1"/>
  <c r="E38" i="8"/>
  <c r="B39" i="8"/>
  <c r="D39" i="8" s="1"/>
  <c r="B40" i="8"/>
  <c r="D40" i="8" s="1"/>
  <c r="B41" i="8"/>
  <c r="D41" i="8" s="1"/>
  <c r="B42" i="8"/>
  <c r="D42" i="8" s="1"/>
  <c r="B43" i="8"/>
  <c r="D43" i="8" s="1"/>
  <c r="B44" i="8"/>
  <c r="D44" i="8" s="1"/>
  <c r="B45" i="8"/>
  <c r="D45" i="8" s="1"/>
  <c r="B46" i="8"/>
  <c r="D46" i="8" s="1"/>
  <c r="B47" i="8"/>
  <c r="D47" i="8" s="1"/>
  <c r="B48" i="8"/>
  <c r="D48" i="8" s="1"/>
  <c r="B49" i="8"/>
  <c r="D49" i="8" s="1"/>
  <c r="B50" i="8"/>
  <c r="D50" i="8" s="1"/>
  <c r="B51" i="8"/>
  <c r="D51" i="8" s="1"/>
  <c r="B52" i="8"/>
  <c r="D52" i="8" s="1"/>
  <c r="B53" i="8"/>
  <c r="D53" i="8" s="1"/>
  <c r="B54" i="8"/>
  <c r="D54" i="8" s="1"/>
  <c r="B55" i="8"/>
  <c r="D55" i="8" s="1"/>
  <c r="B56" i="8"/>
  <c r="D56" i="8" s="1"/>
  <c r="B57" i="8"/>
  <c r="D57" i="8" s="1"/>
  <c r="B58" i="8"/>
  <c r="D58" i="8" s="1"/>
  <c r="B38" i="8"/>
  <c r="H14" i="8"/>
  <c r="J14" i="8" s="1"/>
  <c r="H15" i="8"/>
  <c r="J15" i="8" s="1"/>
  <c r="H16" i="8"/>
  <c r="J16" i="8" s="1"/>
  <c r="H17" i="8"/>
  <c r="J17" i="8" s="1"/>
  <c r="H18" i="8"/>
  <c r="J18" i="8" s="1"/>
  <c r="H19" i="8"/>
  <c r="J19" i="8" s="1"/>
  <c r="H20" i="8"/>
  <c r="J20" i="8" s="1"/>
  <c r="H21" i="8"/>
  <c r="J21" i="8" s="1"/>
  <c r="H22" i="8"/>
  <c r="J22" i="8" s="1"/>
  <c r="H23" i="8"/>
  <c r="J23" i="8" s="1"/>
  <c r="H24" i="8"/>
  <c r="J24" i="8" s="1"/>
  <c r="H25" i="8"/>
  <c r="J25" i="8" s="1"/>
  <c r="H26" i="8"/>
  <c r="J26" i="8" s="1"/>
  <c r="H27" i="8"/>
  <c r="J27" i="8" s="1"/>
  <c r="H28" i="8"/>
  <c r="J28" i="8" s="1"/>
  <c r="H29" i="8"/>
  <c r="J29" i="8" s="1"/>
  <c r="H30" i="8"/>
  <c r="J30" i="8" s="1"/>
  <c r="H31" i="8"/>
  <c r="J31" i="8" s="1"/>
  <c r="H32" i="8"/>
  <c r="J32" i="8" s="1"/>
  <c r="H33" i="8"/>
  <c r="J33" i="8" s="1"/>
  <c r="H13" i="8"/>
  <c r="E14" i="8"/>
  <c r="G14" i="8" s="1"/>
  <c r="E15" i="8"/>
  <c r="G15" i="8" s="1"/>
  <c r="E16" i="8"/>
  <c r="G16" i="8" s="1"/>
  <c r="E17" i="8"/>
  <c r="G17" i="8" s="1"/>
  <c r="E18" i="8"/>
  <c r="G18" i="8" s="1"/>
  <c r="E19" i="8"/>
  <c r="G19" i="8" s="1"/>
  <c r="E20" i="8"/>
  <c r="G20" i="8" s="1"/>
  <c r="E21" i="8"/>
  <c r="G21" i="8" s="1"/>
  <c r="E22" i="8"/>
  <c r="G22" i="8" s="1"/>
  <c r="E23" i="8"/>
  <c r="G23" i="8" s="1"/>
  <c r="E24" i="8"/>
  <c r="G24" i="8" s="1"/>
  <c r="E25" i="8"/>
  <c r="G25" i="8" s="1"/>
  <c r="E26" i="8"/>
  <c r="G26" i="8" s="1"/>
  <c r="E27" i="8"/>
  <c r="G27" i="8" s="1"/>
  <c r="E28" i="8"/>
  <c r="G28" i="8" s="1"/>
  <c r="E29" i="8"/>
  <c r="G29" i="8" s="1"/>
  <c r="E30" i="8"/>
  <c r="G30" i="8" s="1"/>
  <c r="E31" i="8"/>
  <c r="G31" i="8" s="1"/>
  <c r="E32" i="8"/>
  <c r="G32" i="8" s="1"/>
  <c r="E33" i="8"/>
  <c r="G33" i="8" s="1"/>
  <c r="E13" i="8"/>
  <c r="B14" i="8"/>
  <c r="D14" i="8" s="1"/>
  <c r="B15" i="8"/>
  <c r="D15" i="8" s="1"/>
  <c r="B16" i="8"/>
  <c r="D16" i="8" s="1"/>
  <c r="B17" i="8"/>
  <c r="D17" i="8" s="1"/>
  <c r="B18" i="8"/>
  <c r="D18" i="8" s="1"/>
  <c r="B19" i="8"/>
  <c r="D19" i="8" s="1"/>
  <c r="B20" i="8"/>
  <c r="D20" i="8" s="1"/>
  <c r="B21" i="8"/>
  <c r="D21" i="8" s="1"/>
  <c r="B22" i="8"/>
  <c r="D22" i="8" s="1"/>
  <c r="B23" i="8"/>
  <c r="D23" i="8" s="1"/>
  <c r="B24" i="8"/>
  <c r="D24" i="8" s="1"/>
  <c r="B25" i="8"/>
  <c r="D25" i="8" s="1"/>
  <c r="B26" i="8"/>
  <c r="D26" i="8" s="1"/>
  <c r="B27" i="8"/>
  <c r="D27" i="8" s="1"/>
  <c r="B28" i="8"/>
  <c r="D28" i="8" s="1"/>
  <c r="B29" i="8"/>
  <c r="D29" i="8" s="1"/>
  <c r="B30" i="8"/>
  <c r="D30" i="8" s="1"/>
  <c r="B31" i="8"/>
  <c r="D31" i="8" s="1"/>
  <c r="B32" i="8"/>
  <c r="D32" i="8" s="1"/>
  <c r="B33" i="8"/>
  <c r="D33" i="8" s="1"/>
  <c r="B1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Jason Klins</author>
  </authors>
  <commentList>
    <comment ref="A16" authorId="0" shapeId="0" xr:uid="{96D453E4-A9FE-45AF-82F6-075F4BF80401}">
      <text>
        <r>
          <rPr>
            <sz val="11"/>
            <color theme="1"/>
            <rFont val="Aptos Narrow"/>
            <family val="2"/>
            <scheme val="minor"/>
          </rPr>
          <t xml:space="preserve">Jason Klins:
added for matching - not in contract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Jason Klins</author>
  </authors>
  <commentList>
    <comment ref="A19" authorId="0" shapeId="0" xr:uid="{65BBBC6D-4D92-4BEA-934C-C25AC49B508B}">
      <text>
        <r>
          <rPr>
            <sz val="11"/>
            <color theme="1"/>
            <rFont val="Aptos Narrow"/>
            <family val="2"/>
            <scheme val="minor"/>
          </rPr>
          <t xml:space="preserve">Jason Klins:
added for matching - not in contract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Jason Klins</author>
  </authors>
  <commentList>
    <comment ref="A20" authorId="0" shapeId="0" xr:uid="{84EDFE3A-96AE-4D02-A9FD-5CB9D8908710}">
      <text>
        <r>
          <rPr>
            <sz val="11"/>
            <color theme="1"/>
            <rFont val="Aptos Narrow"/>
            <family val="2"/>
            <scheme val="minor"/>
          </rPr>
          <t xml:space="preserve">Jason Klins:
added for matching - not in contract
</t>
        </r>
      </text>
    </comment>
    <comment ref="B29" authorId="0" shapeId="0" xr:uid="{CAB67F76-9C8C-4CD8-B4AB-EFF7A216EC4A}">
      <text>
        <r>
          <rPr>
            <sz val="11"/>
            <color theme="1"/>
            <rFont val="Aptos Narrow"/>
            <family val="2"/>
            <scheme val="minor"/>
          </rPr>
          <t xml:space="preserve">Jason Klins:
Didn't actually see the workday times listed in contract. defaulted to 7.5hrs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Jason Klins</author>
  </authors>
  <commentList>
    <comment ref="A17" authorId="0" shapeId="0" xr:uid="{5E2C9ACE-4420-4071-87AF-416788AEC116}">
      <text>
        <r>
          <rPr>
            <sz val="11"/>
            <color theme="1"/>
            <rFont val="Aptos Narrow"/>
            <family val="2"/>
            <scheme val="minor"/>
          </rPr>
          <t xml:space="preserve">Jason Klins:
added for matching - not in contract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Jason Klins</author>
    <author>tc={4AA2D216-283F-4BFF-903D-3C86DD71427D}</author>
    <author>tc={984F248D-3EAA-4EBA-824B-6D0E9B06C6B4}</author>
    <author>tc={BFDBA2E7-C0B9-452A-8F9C-2B79A66DE7CF}</author>
    <author>tc={1CD5EA69-2098-433E-922A-778E4BF376D7}</author>
    <author>tc={F27A5B47-65AD-4D76-BD13-AEC997BC2E59}</author>
  </authors>
  <commentList>
    <comment ref="E2" authorId="0" shapeId="0" xr:uid="{CD5BA24F-A740-4FAC-9591-F0156704098D}">
      <text>
        <r>
          <rPr>
            <sz val="11"/>
            <color theme="1"/>
            <rFont val="Aptos Narrow"/>
            <family val="2"/>
            <scheme val="minor"/>
          </rPr>
          <t>Jason Klins:
The minimum values are coming from Corry, which is currently showing the 23-24 numbers. Most contracts have gone up significantly since then.</t>
        </r>
      </text>
    </comment>
    <comment ref="C4" authorId="1" shapeId="0" xr:uid="{4AA2D216-283F-4BFF-903D-3C86DD71427D}">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F4" authorId="2" shapeId="0" xr:uid="{984F248D-3EAA-4EBA-824B-6D0E9B06C6B4}">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I4" authorId="3" shapeId="0" xr:uid="{BFDBA2E7-C0B9-452A-8F9C-2B79A66DE7CF}">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E27" authorId="0" shapeId="0" xr:uid="{446FA880-7885-430C-A037-A11C80BA7F93}">
      <text>
        <r>
          <rPr>
            <sz val="11"/>
            <color theme="1"/>
            <rFont val="Aptos Narrow"/>
            <family val="2"/>
            <scheme val="minor"/>
          </rPr>
          <t>Jason Klins:
The minimum values are coming from Corry, which is currently showing the 23-24 numbers. Most contracts have gone up significantly since then.</t>
        </r>
      </text>
    </comment>
    <comment ref="F29" authorId="4" shapeId="0" xr:uid="{1CD5EA69-2098-433E-922A-778E4BF376D7}">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I29" authorId="5" shapeId="0" xr:uid="{F27A5B47-65AD-4D76-BD13-AEC997BC2E59}">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E52" authorId="0" shapeId="0" xr:uid="{4A9088A6-45B2-4411-A081-534655A04AF7}">
      <text>
        <r>
          <rPr>
            <sz val="11"/>
            <color theme="1"/>
            <rFont val="Aptos Narrow"/>
            <family val="2"/>
            <scheme val="minor"/>
          </rPr>
          <t>Jason Klins:
The minimum values are coming from Corry, which is currently showing the 23-24 numbers. Most contracts have gone up significantly since then.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Jason Klins</author>
    <author>tc={F95FDC5F-9F79-4781-B5B1-B43F0FCA89E7}</author>
    <author>tc={7DDF0E97-3E21-471F-B048-F02D3A6FCBF0}</author>
    <author>tc={3B88B2AB-18FA-4D2A-B1A1-6617549BB880}</author>
    <author>tc={AD9D203A-8C56-4689-9431-6F75BC6EEFAB}</author>
    <author>tc={8C81D68B-0905-4ED1-950F-C415DD7C9C6B}</author>
  </authors>
  <commentList>
    <comment ref="E11" authorId="0" shapeId="0" xr:uid="{6710160A-A61A-422B-B7C2-38BD8079D7F6}">
      <text>
        <r>
          <rPr>
            <sz val="11"/>
            <color theme="1"/>
            <rFont val="Aptos Narrow"/>
            <family val="2"/>
            <scheme val="minor"/>
          </rPr>
          <t>Jason Klins:
The minimum values are coming from Corry, which is currently showing the 23-24 numbers. Most contracts have gone up significantly since then.</t>
        </r>
      </text>
    </comment>
    <comment ref="C13" authorId="1" shapeId="0" xr:uid="{F95FDC5F-9F79-4781-B5B1-B43F0FCA89E7}">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F13" authorId="2" shapeId="0" xr:uid="{7DDF0E97-3E21-471F-B048-F02D3A6FCBF0}">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I13" authorId="3" shapeId="0" xr:uid="{3B88B2AB-18FA-4D2A-B1A1-6617549BB880}">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E36" authorId="0" shapeId="0" xr:uid="{AA317955-A1AF-420F-A3CB-69F04D12DF05}">
      <text>
        <r>
          <rPr>
            <sz val="11"/>
            <color theme="1"/>
            <rFont val="Aptos Narrow"/>
            <family val="2"/>
            <scheme val="minor"/>
          </rPr>
          <t>Jason Klins:
The minimum values are coming from Corry, which is currently showing the 23-24 numbers. Most contracts have gone up significantly since then.</t>
        </r>
      </text>
    </comment>
    <comment ref="F38" authorId="4" shapeId="0" xr:uid="{AD9D203A-8C56-4689-9431-6F75BC6EEFAB}">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I38" authorId="5" shapeId="0" xr:uid="{8C81D68B-0905-4ED1-950F-C415DD7C9C6B}">
      <text>
        <t>[Threaded comment]
Your version of Excel allows you to read this threaded comment; however, any edits to it will get removed if the file is opened in a newer version of Excel. Learn more: https://go.microsoft.com/fwlink/?linkid=870924
Comment:
    Step 1 zeroed out in our contract?</t>
      </text>
    </comment>
    <comment ref="E61" authorId="0" shapeId="0" xr:uid="{754157D6-431C-48A6-B236-2827F1619521}">
      <text>
        <r>
          <rPr>
            <sz val="11"/>
            <color theme="1"/>
            <rFont val="Aptos Narrow"/>
            <family val="2"/>
            <scheme val="minor"/>
          </rPr>
          <t>Jason Klins:
The minimum values are coming from Corry, which is currently showing the 23-24 numbers. Most contracts have gone up significantly since then.</t>
        </r>
      </text>
    </comment>
  </commentList>
</comments>
</file>

<file path=xl/sharedStrings.xml><?xml version="1.0" encoding="utf-8"?>
<sst xmlns="http://schemas.openxmlformats.org/spreadsheetml/2006/main" count="330" uniqueCount="161">
  <si>
    <t>From Top</t>
  </si>
  <si>
    <t>Old System</t>
  </si>
  <si>
    <t>Nurse Tech</t>
  </si>
  <si>
    <t>Bachelors</t>
  </si>
  <si>
    <t>B+15</t>
  </si>
  <si>
    <t>Masters</t>
  </si>
  <si>
    <t>M+15</t>
  </si>
  <si>
    <t>Step</t>
  </si>
  <si>
    <t>Voc I</t>
  </si>
  <si>
    <t>Voc I Difference</t>
  </si>
  <si>
    <t>Voc II</t>
  </si>
  <si>
    <t>M</t>
  </si>
  <si>
    <t>Crawford Hours:</t>
  </si>
  <si>
    <t>7.5 hr day with 30 minutes duty free</t>
  </si>
  <si>
    <t>185 days</t>
  </si>
  <si>
    <t>6 additional hours for open house and meetings</t>
  </si>
  <si>
    <t>days</t>
  </si>
  <si>
    <t>min-per-day (counting duty free)</t>
  </si>
  <si>
    <t>hours-per-day</t>
  </si>
  <si>
    <t>additional hours</t>
  </si>
  <si>
    <t>total hours</t>
  </si>
  <si>
    <t>NOTE: Corry's numbers are from the 23-24 school year. Many contracts have significantly gone up since then</t>
  </si>
  <si>
    <t>In Contract</t>
  </si>
  <si>
    <t>Voc. 1</t>
  </si>
  <si>
    <t>Voc. 2</t>
  </si>
  <si>
    <t>B+24</t>
  </si>
  <si>
    <t>M/ME</t>
  </si>
  <si>
    <t>M+30</t>
  </si>
  <si>
    <t>Corry</t>
  </si>
  <si>
    <t>Steps</t>
  </si>
  <si>
    <t>Mercer</t>
  </si>
  <si>
    <t>To Top</t>
  </si>
  <si>
    <t>B</t>
  </si>
  <si>
    <t>B+6</t>
  </si>
  <si>
    <t>B+12</t>
  </si>
  <si>
    <t>B+18</t>
  </si>
  <si>
    <t>B+30</t>
  </si>
  <si>
    <t>M+6</t>
  </si>
  <si>
    <t>M+12</t>
  </si>
  <si>
    <t>M+18</t>
  </si>
  <si>
    <t>M+24</t>
  </si>
  <si>
    <t>M+36</t>
  </si>
  <si>
    <t>M+42</t>
  </si>
  <si>
    <t>M+48</t>
  </si>
  <si>
    <t>M+54</t>
  </si>
  <si>
    <t>M+60</t>
  </si>
  <si>
    <t>Doc</t>
  </si>
  <si>
    <t>Top</t>
  </si>
  <si>
    <t>Erie School District</t>
  </si>
  <si>
    <t>7hr10min workday?</t>
  </si>
  <si>
    <t>"The total regular work day shall average seven (7) hours and ten (10) minutes, inclusive of
lunch periods, instructional periods, preparation and/or planning periods, and rest breaks
where applicable."</t>
  </si>
  <si>
    <t>Old Step</t>
  </si>
  <si>
    <t>D</t>
  </si>
  <si>
    <t>ECTS</t>
  </si>
  <si>
    <t>6hrs50min</t>
  </si>
  <si>
    <t>7:55-2:45</t>
  </si>
  <si>
    <t>7:45-3:15 would be median</t>
  </si>
  <si>
    <t>min-per-day</t>
  </si>
  <si>
    <t xml:space="preserve">10 1hr monthly faculty meetings, 2hr OAC, 2hr Open House, 2hr student orientation </t>
  </si>
  <si>
    <t>First Column Comparisons</t>
  </si>
  <si>
    <t>Averages</t>
  </si>
  <si>
    <t>Minimum</t>
  </si>
  <si>
    <t>Maximum</t>
  </si>
  <si>
    <t>First Col Avg</t>
  </si>
  <si>
    <t>Difference</t>
  </si>
  <si>
    <t>First Col Min</t>
  </si>
  <si>
    <t>First Col Max</t>
  </si>
  <si>
    <t>Notes:</t>
  </si>
  <si>
    <t xml:space="preserve">ECTS has the most steps of the 4 contracts (21), Mercer has the second most with 18. </t>
  </si>
  <si>
    <t>Tried to compare apples to apples by using the first column of each contract. Extended all contracts to 21 by repeating last step</t>
  </si>
  <si>
    <t>Masters Comparison</t>
  </si>
  <si>
    <t>Masters Avg</t>
  </si>
  <si>
    <t>Masters Min</t>
  </si>
  <si>
    <t>Masters Max</t>
  </si>
  <si>
    <t>Masters + 15</t>
  </si>
  <si>
    <t>M+15 Avg</t>
  </si>
  <si>
    <t>M+15 Min</t>
  </si>
  <si>
    <t>M+15 Max</t>
  </si>
  <si>
    <t>This sheet is similar to the regular data sheet, but it has an adjusted difference based on the average of how many hours ECTS works compared to the other schools</t>
  </si>
  <si>
    <t>Estimated Contract Hours Difference</t>
  </si>
  <si>
    <t>Modifier is how many hours per year we are required to work compared to other schools</t>
  </si>
  <si>
    <t>Crawford</t>
  </si>
  <si>
    <t>Modifier</t>
  </si>
  <si>
    <t>ESD</t>
  </si>
  <si>
    <t>Modifier Adjustment</t>
  </si>
  <si>
    <t>This means ECTS works about 56 minutes for everyone else's hour</t>
  </si>
  <si>
    <t>Avg Adjusted</t>
  </si>
  <si>
    <t>Min Adjusted</t>
  </si>
  <si>
    <t>Max Adjusted</t>
  </si>
  <si>
    <t>Need to compare health packages - this IS NOT a Klins task - given recent changes to healh care affordability, I'd expect this to be something they try to use against raising salaries appropriately</t>
  </si>
  <si>
    <t>Many contracts have steps/columns for additional roles like clubs and sports - Matt wants more clubs and sports, something should get built into the contract about pay for this. Is there an argument for steps? Eg. Year 1 of a club makes x amount, year 2 makes a bit more (more experience), year 3....</t>
  </si>
  <si>
    <t>Mentoring should get added to the contract - current proposed rate is $300 to mentor a 1st year, $200 to mentor a second</t>
  </si>
  <si>
    <t>College reimbursement still an issue - note: this has diminishing returns as compared to just a more significant increase in salary. Solving this should be the burden of admin with respect to  retention.</t>
  </si>
  <si>
    <t>Sending Districts</t>
  </si>
  <si>
    <t>Right to Know email used</t>
  </si>
  <si>
    <t>Sent</t>
  </si>
  <si>
    <t>Received</t>
  </si>
  <si>
    <t>D10 Tech Schools</t>
  </si>
  <si>
    <t>RTK email used</t>
  </si>
  <si>
    <t>Fairview</t>
  </si>
  <si>
    <t>Fairview: https://www.fairviewschools.org/  </t>
  </si>
  <si>
    <t>info@fairviewschools.org</t>
  </si>
  <si>
    <t>1/12 9am</t>
  </si>
  <si>
    <t>Failed</t>
  </si>
  <si>
    <t>Butler County AVTS</t>
  </si>
  <si>
    <t>openrecords@butlertec.us</t>
  </si>
  <si>
    <t>Fort LeBoeuf</t>
  </si>
  <si>
    <t>Fort LeBoeuf: https://www.fortleboeuf.net/</t>
  </si>
  <si>
    <t>waltersb@flbapps.net</t>
  </si>
  <si>
    <t>Clarion County Career Center</t>
  </si>
  <si>
    <t>twildeson@clarioncte.org</t>
  </si>
  <si>
    <t>I have resigned my position as the Director of the Career Center. Dr. Ted Pappas is the Interim Director and can be contacted at tpappas@clarioncte.org or by calling 814-226-4391.</t>
  </si>
  <si>
    <t>General McLane</t>
  </si>
  <si>
    <t>General McLane: https://www.generalmclane.net/</t>
  </si>
  <si>
    <t>jenniferberger@generalmclane.org</t>
  </si>
  <si>
    <t>Replied. Asked for RTK form. Sent back 1/12</t>
  </si>
  <si>
    <t>Corry Career &amp; Technical School</t>
  </si>
  <si>
    <t>openrecords@corrysd.net </t>
  </si>
  <si>
    <t>Respone 1/12 - asked for RTK form filled out. Replied</t>
  </si>
  <si>
    <t>Girard</t>
  </si>
  <si>
    <t>Girard: https://www.girardsd.org/</t>
  </si>
  <si>
    <t>https://www.girardsd.org/apps/pages/index.jsp?uREC_ID=959141&amp;type=u</t>
  </si>
  <si>
    <t>Crawford County CTC</t>
  </si>
  <si>
    <t>info@crawfordctc.org</t>
  </si>
  <si>
    <t>Email failed</t>
  </si>
  <si>
    <t>Harbor Creek</t>
  </si>
  <si>
    <t>Harbor Creek: https://www.hcsd.iu5.org/</t>
  </si>
  <si>
    <t>openrecords@hcsd.iu5.org</t>
  </si>
  <si>
    <t>Erie High School</t>
  </si>
  <si>
    <t>Iroquois</t>
  </si>
  <si>
    <t>Iroquois: https://www.iroquoissd.org/</t>
  </si>
  <si>
    <t>smurray@iroquois.iu5.org</t>
  </si>
  <si>
    <t>Lawrence County CTC</t>
  </si>
  <si>
    <t>Millcreek</t>
  </si>
  <si>
    <t>Millcreek (McDowell) : https://www.mtsd.org/</t>
  </si>
  <si>
    <t>info@mtsd.org</t>
  </si>
  <si>
    <t>Lenape Technical School</t>
  </si>
  <si>
    <t>North East</t>
  </si>
  <si>
    <t>North East : https://www.nesd1.org/</t>
  </si>
  <si>
    <t>OpenRecordsRequest@nesd1.org</t>
  </si>
  <si>
    <t>https://www.nesd1.org/contracts
https://files.smartsites.parentsquare.com/10215/north_east_education_association.pdf</t>
  </si>
  <si>
    <t>Mercer County Career Center</t>
  </si>
  <si>
    <t>akline@mercerccc.org</t>
  </si>
  <si>
    <t>North Western</t>
  </si>
  <si>
    <t>North Western: https://www.nwsd.org/</t>
  </si>
  <si>
    <t>jhannon@nwsd.org</t>
  </si>
  <si>
    <t>Venango Technical Center</t>
  </si>
  <si>
    <t>webmaster@vtc1.org</t>
  </si>
  <si>
    <t>Union City</t>
  </si>
  <si>
    <t>Union City: https://www.ucasd.org/</t>
  </si>
  <si>
    <t>lrosenthal@ucasd.org</t>
  </si>
  <si>
    <t>Warren County Career Center</t>
  </si>
  <si>
    <t>woodsb@wcsdpa.org</t>
  </si>
  <si>
    <t>Wattsburg</t>
  </si>
  <si>
    <t>Wattsburg (Seneca): https://www.wattsburg.org/</t>
  </si>
  <si>
    <t>Leslee.Hutchison@wattsburg.org</t>
  </si>
  <si>
    <t>Right to know email template:</t>
  </si>
  <si>
    <t>Subject:</t>
  </si>
  <si>
    <t>Right-to-Know Request – Current Teacher Contract</t>
  </si>
  <si>
    <t>Content:</t>
  </si>
  <si>
    <t xml:space="preserve">Hello,
Pursuant to the Pennsylvania Right-to-Know Law, I am requesting a copy of the current collective bargaining agreement for teachers that is presently in effect for the Venango Technical Center.
This request includes, but is not limited to, the full contract document and all related salary schedules, appendices, memoranda of understanding, and amendments that are currently in force.
I request that the records be provided electronically. If this is not the appropriate address for Right-to-Know Requests, please forward it to the proper contact person. 
Thank you for your assistance.
Sincerely,
Jason Klins
8541 Hawick Road
Erie Pa 16509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</si>
</sst>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rgb="FFFF0000"/>
      <name val="Aptos Narrow"/>
      <family val="2"/>
      <scheme val="minor"/>
    </font>
    <font>
      <u/>
      <sz val="11"/>
      <color theme="10"/>
      <name val="Aptos Narrow"/>
      <family val="2"/>
      <scheme val="minor"/>
    </font>
    <font>
      <sz val="12"/>
      <color rgb="FF000000"/>
      <name val="Inter"/>
      <charset val="1"/>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rgb="FFFFFFFF"/>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3" fontId="0" fillId="0" borderId="0" xfId="0" applyNumberFormat="1"/>
    <xf numFmtId="0" fontId="0" fillId="2" borderId="0" xfId="0" applyFill="1"/>
    <xf numFmtId="3" fontId="0" fillId="2" borderId="0" xfId="0" applyNumberFormat="1" applyFill="1"/>
    <xf numFmtId="0" fontId="1" fillId="0" borderId="0" xfId="0" applyFont="1"/>
    <xf numFmtId="0" fontId="0" fillId="0" borderId="1" xfId="0" applyBorder="1"/>
    <xf numFmtId="0" fontId="1" fillId="4" borderId="1" xfId="0" applyFont="1" applyFill="1" applyBorder="1"/>
    <xf numFmtId="0" fontId="1" fillId="5" borderId="1" xfId="0" applyFont="1" applyFill="1" applyBorder="1"/>
    <xf numFmtId="0" fontId="1" fillId="3" borderId="1" xfId="0" applyFont="1" applyFill="1" applyBorder="1"/>
    <xf numFmtId="0" fontId="1" fillId="0" borderId="1" xfId="0" applyFont="1" applyBorder="1"/>
    <xf numFmtId="3" fontId="1" fillId="4" borderId="1" xfId="0" applyNumberFormat="1" applyFont="1" applyFill="1" applyBorder="1"/>
    <xf numFmtId="3" fontId="0" fillId="4" borderId="1" xfId="0" applyNumberFormat="1" applyFill="1" applyBorder="1"/>
    <xf numFmtId="0" fontId="0" fillId="4" borderId="1" xfId="0" applyFill="1" applyBorder="1"/>
    <xf numFmtId="3" fontId="0" fillId="5" borderId="1" xfId="0" applyNumberFormat="1" applyFill="1" applyBorder="1"/>
    <xf numFmtId="0" fontId="0" fillId="5" borderId="1" xfId="0" applyFill="1" applyBorder="1"/>
    <xf numFmtId="3" fontId="0" fillId="3" borderId="1" xfId="0" applyNumberFormat="1" applyFill="1" applyBorder="1"/>
    <xf numFmtId="0" fontId="0" fillId="3" borderId="1" xfId="0" applyFill="1" applyBorder="1"/>
    <xf numFmtId="3" fontId="0" fillId="4" borderId="2" xfId="0" applyNumberFormat="1" applyFill="1" applyBorder="1"/>
    <xf numFmtId="0" fontId="0" fillId="4" borderId="3" xfId="0" applyFill="1" applyBorder="1"/>
    <xf numFmtId="3" fontId="0" fillId="4" borderId="3" xfId="0" applyNumberFormat="1" applyFill="1" applyBorder="1"/>
    <xf numFmtId="0" fontId="0" fillId="6" borderId="0" xfId="0" applyFill="1"/>
    <xf numFmtId="0" fontId="2" fillId="0" borderId="0" xfId="0" applyFont="1"/>
    <xf numFmtId="0" fontId="1" fillId="2" borderId="0" xfId="0" applyFont="1" applyFill="1"/>
    <xf numFmtId="0" fontId="3" fillId="0" borderId="0" xfId="1"/>
    <xf numFmtId="0" fontId="3" fillId="7" borderId="0" xfId="1" applyFill="1" applyAlignment="1">
      <alignment wrapText="1"/>
    </xf>
    <xf numFmtId="0" fontId="4" fillId="0" borderId="0" xfId="0" applyFont="1"/>
    <xf numFmtId="16" fontId="0" fillId="0" borderId="0" xfId="0" applyNumberFormat="1"/>
    <xf numFmtId="0" fontId="0" fillId="0" borderId="0" xfId="0" applyAlignment="1">
      <alignment wrapText="1"/>
    </xf>
    <xf numFmtId="0" fontId="3" fillId="8" borderId="0" xfId="1" applyFill="1" applyAlignment="1">
      <alignment wrapText="1"/>
    </xf>
    <xf numFmtId="0" fontId="0" fillId="8" borderId="0" xfId="0" applyFill="1"/>
    <xf numFmtId="0" fontId="0" fillId="8" borderId="0" xfId="0" applyFill="1" applyAlignment="1">
      <alignment wrapText="1"/>
    </xf>
    <xf numFmtId="0" fontId="3" fillId="6" borderId="0" xfId="1" applyFill="1" applyAlignment="1">
      <alignment wrapText="1"/>
    </xf>
    <xf numFmtId="0" fontId="1" fillId="6" borderId="0" xfId="0" applyFont="1" applyFill="1"/>
  </cellXfs>
  <cellStyles count="2">
    <cellStyle name="Hyperlink" xfId="1" builtinId="8"/>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ason Klins" id="{8FBBFC01-F966-4065-B61A-F78088EA0379}" userId="S::jklins@ects.org::77b7fbe9-6052-491c-a505-988f1e2d60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6-01-09T03:26:11.42" personId="{8FBBFC01-F966-4065-B61A-F78088EA0379}" id="{4AA2D216-283F-4BFF-903D-3C86DD71427D}">
    <text>Step 1 zeroed out in our contract?</text>
  </threadedComment>
  <threadedComment ref="F4" dT="2026-01-09T03:26:11.42" personId="{8FBBFC01-F966-4065-B61A-F78088EA0379}" id="{984F248D-3EAA-4EBA-824B-6D0E9B06C6B4}">
    <text>Step 1 zeroed out in our contract?</text>
  </threadedComment>
  <threadedComment ref="I4" dT="2026-01-09T03:26:11.42" personId="{8FBBFC01-F966-4065-B61A-F78088EA0379}" id="{BFDBA2E7-C0B9-452A-8F9C-2B79A66DE7CF}">
    <text>Step 1 zeroed out in our contract?</text>
  </threadedComment>
  <threadedComment ref="F29" dT="2026-01-09T03:26:11.42" personId="{8FBBFC01-F966-4065-B61A-F78088EA0379}" id="{1CD5EA69-2098-433E-922A-778E4BF376D7}">
    <text>Step 1 zeroed out in our contract?</text>
  </threadedComment>
  <threadedComment ref="I29" dT="2026-01-09T03:26:11.42" personId="{8FBBFC01-F966-4065-B61A-F78088EA0379}" id="{F27A5B47-65AD-4D76-BD13-AEC997BC2E59}">
    <text>Step 1 zeroed out in our contract?</text>
  </threadedComment>
</ThreadedComments>
</file>

<file path=xl/threadedComments/threadedComment2.xml><?xml version="1.0" encoding="utf-8"?>
<ThreadedComments xmlns="http://schemas.microsoft.com/office/spreadsheetml/2018/threadedcomments" xmlns:x="http://schemas.openxmlformats.org/spreadsheetml/2006/main">
  <threadedComment ref="C13" dT="2026-01-09T03:26:11.42" personId="{8FBBFC01-F966-4065-B61A-F78088EA0379}" id="{F95FDC5F-9F79-4781-B5B1-B43F0FCA89E7}">
    <text>Step 1 zeroed out in our contract?</text>
  </threadedComment>
  <threadedComment ref="F13" dT="2026-01-09T03:26:11.42" personId="{8FBBFC01-F966-4065-B61A-F78088EA0379}" id="{7DDF0E97-3E21-471F-B048-F02D3A6FCBF0}">
    <text>Step 1 zeroed out in our contract?</text>
  </threadedComment>
  <threadedComment ref="I13" dT="2026-01-09T03:26:11.42" personId="{8FBBFC01-F966-4065-B61A-F78088EA0379}" id="{3B88B2AB-18FA-4D2A-B1A1-6617549BB880}">
    <text>Step 1 zeroed out in our contract?</text>
  </threadedComment>
  <threadedComment ref="F38" dT="2026-01-09T03:26:11.42" personId="{8FBBFC01-F966-4065-B61A-F78088EA0379}" id="{AD9D203A-8C56-4689-9431-6F75BC6EEFAB}">
    <text>Step 1 zeroed out in our contract?</text>
  </threadedComment>
  <threadedComment ref="I38" dT="2026-01-09T03:26:11.42" personId="{8FBBFC01-F966-4065-B61A-F78088EA0379}" id="{8C81D68B-0905-4ED1-950F-C415DD7C9C6B}">
    <text>Step 1 zeroed out in our contract?</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8" Type="http://schemas.openxmlformats.org/officeDocument/2006/relationships/hyperlink" Target="https://www.nesd1.org/" TargetMode="External"/><Relationship Id="rId13" Type="http://schemas.openxmlformats.org/officeDocument/2006/relationships/hyperlink" Target="https://www.girardsd.org/apps/pages/index.jsp?uREC_ID=959141&amp;type=u" TargetMode="External"/><Relationship Id="rId3" Type="http://schemas.openxmlformats.org/officeDocument/2006/relationships/hyperlink" Target="https://www.generalmclane.net/" TargetMode="External"/><Relationship Id="rId7" Type="http://schemas.openxmlformats.org/officeDocument/2006/relationships/hyperlink" Target="https://www.mtsd.org/" TargetMode="External"/><Relationship Id="rId12" Type="http://schemas.openxmlformats.org/officeDocument/2006/relationships/hyperlink" Target="mailto:jhannon@nwsd.org" TargetMode="External"/><Relationship Id="rId2" Type="http://schemas.openxmlformats.org/officeDocument/2006/relationships/hyperlink" Target="https://www.fortleboeuf.net/" TargetMode="External"/><Relationship Id="rId1" Type="http://schemas.openxmlformats.org/officeDocument/2006/relationships/hyperlink" Target="https://www.fairviewschools.org/" TargetMode="External"/><Relationship Id="rId6" Type="http://schemas.openxmlformats.org/officeDocument/2006/relationships/hyperlink" Target="https://www.iroquoissd.org/" TargetMode="External"/><Relationship Id="rId11" Type="http://schemas.openxmlformats.org/officeDocument/2006/relationships/hyperlink" Target="https://www.wattsburg.org/" TargetMode="External"/><Relationship Id="rId5" Type="http://schemas.openxmlformats.org/officeDocument/2006/relationships/hyperlink" Target="https://www.hcsd.iu5.org/" TargetMode="External"/><Relationship Id="rId10" Type="http://schemas.openxmlformats.org/officeDocument/2006/relationships/hyperlink" Target="https://www.ucasd.org/" TargetMode="External"/><Relationship Id="rId4" Type="http://schemas.openxmlformats.org/officeDocument/2006/relationships/hyperlink" Target="https://www.girardsd.org/" TargetMode="External"/><Relationship Id="rId9" Type="http://schemas.openxmlformats.org/officeDocument/2006/relationships/hyperlink" Target="https://www.nwsd.org/" TargetMode="External"/><Relationship Id="rId14" Type="http://schemas.openxmlformats.org/officeDocument/2006/relationships/hyperlink" Target="mailto:openrecords@corrysd.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E297-C377-48A6-B08B-6378577B768B}">
  <dimension ref="A1:O35"/>
  <sheetViews>
    <sheetView workbookViewId="0">
      <selection activeCell="K1" sqref="K1:L22"/>
    </sheetView>
  </sheetViews>
  <sheetFormatPr defaultRowHeight="14.45"/>
  <cols>
    <col min="3" max="3" width="15.7109375" customWidth="1"/>
    <col min="4" max="4" width="10.7109375" customWidth="1"/>
    <col min="12" max="12" width="16.140625" customWidth="1"/>
  </cols>
  <sheetData>
    <row r="1" spans="1:15">
      <c r="A1" t="s">
        <v>0</v>
      </c>
      <c r="B1" t="s">
        <v>1</v>
      </c>
      <c r="C1" t="s">
        <v>2</v>
      </c>
      <c r="D1" t="s">
        <v>3</v>
      </c>
      <c r="E1" t="s">
        <v>4</v>
      </c>
      <c r="F1" t="s">
        <v>5</v>
      </c>
      <c r="G1" t="s">
        <v>6</v>
      </c>
      <c r="J1" t="s">
        <v>7</v>
      </c>
      <c r="K1" t="s">
        <v>8</v>
      </c>
      <c r="L1" t="s">
        <v>9</v>
      </c>
      <c r="M1" t="s">
        <v>10</v>
      </c>
      <c r="N1" t="s">
        <v>11</v>
      </c>
      <c r="O1" t="s">
        <v>6</v>
      </c>
    </row>
    <row r="2" spans="1:15">
      <c r="A2">
        <v>13</v>
      </c>
      <c r="B2">
        <v>1</v>
      </c>
      <c r="C2" s="1">
        <v>36867</v>
      </c>
      <c r="D2" s="1">
        <v>54237</v>
      </c>
      <c r="E2" s="1">
        <v>57447</v>
      </c>
      <c r="F2" s="1">
        <v>61097</v>
      </c>
      <c r="G2" s="1">
        <v>64538</v>
      </c>
      <c r="J2">
        <v>1</v>
      </c>
      <c r="K2">
        <v>0</v>
      </c>
      <c r="M2">
        <v>0</v>
      </c>
      <c r="N2">
        <v>0</v>
      </c>
      <c r="O2">
        <v>0</v>
      </c>
    </row>
    <row r="3" spans="1:15">
      <c r="A3">
        <v>12</v>
      </c>
      <c r="B3">
        <v>2</v>
      </c>
      <c r="C3" s="1">
        <v>37703</v>
      </c>
      <c r="D3" s="1">
        <v>54537</v>
      </c>
      <c r="E3" s="1">
        <v>57747</v>
      </c>
      <c r="F3" s="1">
        <v>61397</v>
      </c>
      <c r="G3" s="1">
        <v>64838</v>
      </c>
      <c r="J3">
        <v>2</v>
      </c>
      <c r="K3">
        <v>45208</v>
      </c>
      <c r="L3" s="1">
        <f>K3 - D3</f>
        <v>-9329</v>
      </c>
      <c r="M3">
        <v>45731</v>
      </c>
      <c r="N3">
        <v>46749</v>
      </c>
      <c r="O3">
        <v>47749</v>
      </c>
    </row>
    <row r="4" spans="1:15">
      <c r="A4">
        <v>11</v>
      </c>
      <c r="B4">
        <v>3</v>
      </c>
      <c r="C4" s="1">
        <v>38538</v>
      </c>
      <c r="D4" s="1">
        <v>54837</v>
      </c>
      <c r="E4" s="1">
        <v>58047</v>
      </c>
      <c r="F4" s="1">
        <v>61697</v>
      </c>
      <c r="G4" s="1">
        <v>65138</v>
      </c>
      <c r="J4">
        <v>3</v>
      </c>
      <c r="K4">
        <v>45808</v>
      </c>
      <c r="L4" s="1">
        <f t="shared" ref="L4:L22" si="0">K4 - D4</f>
        <v>-9029</v>
      </c>
      <c r="M4">
        <v>46331</v>
      </c>
      <c r="N4">
        <v>47349</v>
      </c>
      <c r="O4">
        <v>48349</v>
      </c>
    </row>
    <row r="5" spans="1:15">
      <c r="A5">
        <v>10</v>
      </c>
      <c r="B5">
        <v>4</v>
      </c>
      <c r="C5" s="1">
        <v>39374</v>
      </c>
      <c r="D5" s="1">
        <v>55137</v>
      </c>
      <c r="E5" s="1">
        <v>58347</v>
      </c>
      <c r="F5" s="1">
        <v>61997</v>
      </c>
      <c r="G5" s="1">
        <v>65438</v>
      </c>
      <c r="J5">
        <v>4</v>
      </c>
      <c r="K5">
        <v>46408</v>
      </c>
      <c r="L5" s="1">
        <f t="shared" si="0"/>
        <v>-8729</v>
      </c>
      <c r="M5">
        <v>46931</v>
      </c>
      <c r="N5">
        <v>47949</v>
      </c>
      <c r="O5">
        <v>48949</v>
      </c>
    </row>
    <row r="6" spans="1:15">
      <c r="A6">
        <v>9</v>
      </c>
      <c r="B6">
        <v>5</v>
      </c>
      <c r="C6" s="1">
        <v>40209</v>
      </c>
      <c r="D6" s="1">
        <v>55437</v>
      </c>
      <c r="E6" s="1">
        <v>58647</v>
      </c>
      <c r="F6" s="1">
        <v>62297</v>
      </c>
      <c r="G6" s="1">
        <v>66738</v>
      </c>
      <c r="J6">
        <v>5</v>
      </c>
      <c r="K6">
        <v>47408</v>
      </c>
      <c r="L6" s="1">
        <f t="shared" si="0"/>
        <v>-8029</v>
      </c>
      <c r="M6">
        <v>47931</v>
      </c>
      <c r="N6">
        <v>48949</v>
      </c>
      <c r="O6">
        <v>49949</v>
      </c>
    </row>
    <row r="7" spans="1:15">
      <c r="A7">
        <v>8</v>
      </c>
      <c r="B7">
        <v>6</v>
      </c>
      <c r="C7" s="1">
        <v>41046</v>
      </c>
      <c r="D7" s="1">
        <v>55737</v>
      </c>
      <c r="E7" s="1">
        <v>58947</v>
      </c>
      <c r="F7" s="1">
        <v>62597</v>
      </c>
      <c r="G7" s="1">
        <v>66838</v>
      </c>
      <c r="J7">
        <v>6</v>
      </c>
      <c r="K7">
        <v>48408</v>
      </c>
      <c r="L7" s="1">
        <f t="shared" si="0"/>
        <v>-7329</v>
      </c>
      <c r="M7">
        <v>48931</v>
      </c>
      <c r="N7">
        <v>49949</v>
      </c>
      <c r="O7">
        <v>50949</v>
      </c>
    </row>
    <row r="8" spans="1:15">
      <c r="A8">
        <v>7</v>
      </c>
      <c r="B8">
        <v>7</v>
      </c>
      <c r="C8" s="1">
        <v>41881</v>
      </c>
      <c r="D8" s="1">
        <v>58240</v>
      </c>
      <c r="E8" s="1">
        <v>59897</v>
      </c>
      <c r="F8" s="1">
        <v>63547</v>
      </c>
      <c r="G8" s="1">
        <v>66988</v>
      </c>
      <c r="J8">
        <v>7</v>
      </c>
      <c r="K8">
        <v>49458</v>
      </c>
      <c r="L8" s="1">
        <f t="shared" si="0"/>
        <v>-8782</v>
      </c>
      <c r="M8">
        <v>49981</v>
      </c>
      <c r="N8">
        <v>50999</v>
      </c>
      <c r="O8">
        <v>51999</v>
      </c>
    </row>
    <row r="9" spans="1:15">
      <c r="A9">
        <v>6</v>
      </c>
      <c r="B9">
        <v>8</v>
      </c>
      <c r="C9" s="1">
        <v>42716</v>
      </c>
      <c r="D9" s="1">
        <v>56744</v>
      </c>
      <c r="E9" s="1">
        <v>60832</v>
      </c>
      <c r="F9" s="1">
        <v>64482</v>
      </c>
      <c r="G9" s="1">
        <v>67923</v>
      </c>
      <c r="J9">
        <v>8</v>
      </c>
      <c r="K9">
        <v>50358</v>
      </c>
      <c r="L9" s="1">
        <f t="shared" si="0"/>
        <v>-6386</v>
      </c>
      <c r="M9">
        <v>50881</v>
      </c>
      <c r="N9">
        <v>51899</v>
      </c>
      <c r="O9">
        <v>52899</v>
      </c>
    </row>
    <row r="10" spans="1:15">
      <c r="A10">
        <v>5</v>
      </c>
      <c r="B10">
        <v>9</v>
      </c>
      <c r="C10" s="1">
        <v>43552</v>
      </c>
      <c r="D10" s="1">
        <v>57247</v>
      </c>
      <c r="E10" s="1">
        <v>61768</v>
      </c>
      <c r="F10" s="1">
        <v>65418</v>
      </c>
      <c r="G10" s="1">
        <v>68869</v>
      </c>
      <c r="J10">
        <v>9</v>
      </c>
      <c r="K10">
        <v>51158</v>
      </c>
      <c r="L10" s="1">
        <f t="shared" si="0"/>
        <v>-6089</v>
      </c>
      <c r="M10">
        <v>51681</v>
      </c>
      <c r="N10">
        <v>52699</v>
      </c>
      <c r="O10">
        <v>53699</v>
      </c>
    </row>
    <row r="11" spans="1:15">
      <c r="A11">
        <v>4</v>
      </c>
      <c r="B11">
        <v>10</v>
      </c>
      <c r="C11" s="1">
        <v>44387</v>
      </c>
      <c r="D11" s="1">
        <v>60177</v>
      </c>
      <c r="E11" s="1">
        <v>62698</v>
      </c>
      <c r="F11" s="1">
        <v>66348</v>
      </c>
      <c r="G11" s="1">
        <v>69789</v>
      </c>
      <c r="J11">
        <v>10</v>
      </c>
      <c r="K11">
        <v>52008</v>
      </c>
      <c r="L11" s="1">
        <f t="shared" si="0"/>
        <v>-8169</v>
      </c>
      <c r="M11">
        <v>52531</v>
      </c>
      <c r="N11">
        <v>53549</v>
      </c>
      <c r="O11">
        <v>54549</v>
      </c>
    </row>
    <row r="12" spans="1:15">
      <c r="A12">
        <v>3</v>
      </c>
      <c r="B12">
        <v>11</v>
      </c>
      <c r="C12" s="1">
        <v>46223</v>
      </c>
      <c r="D12" s="1">
        <v>60418</v>
      </c>
      <c r="E12" s="1">
        <v>64939</v>
      </c>
      <c r="F12" s="1">
        <v>68689</v>
      </c>
      <c r="G12" s="1">
        <v>72030</v>
      </c>
      <c r="J12">
        <v>11</v>
      </c>
      <c r="K12">
        <v>52758</v>
      </c>
      <c r="L12" s="1">
        <f t="shared" si="0"/>
        <v>-7660</v>
      </c>
      <c r="M12">
        <v>53281</v>
      </c>
      <c r="N12">
        <v>54299</v>
      </c>
      <c r="O12">
        <v>55299</v>
      </c>
    </row>
    <row r="13" spans="1:15">
      <c r="A13">
        <v>2</v>
      </c>
      <c r="B13">
        <v>12</v>
      </c>
      <c r="C13" s="1">
        <v>46059</v>
      </c>
      <c r="D13" s="1">
        <v>62659</v>
      </c>
      <c r="E13" s="1">
        <v>67180</v>
      </c>
      <c r="F13" s="1">
        <v>70830</v>
      </c>
      <c r="G13" s="1">
        <v>74271</v>
      </c>
      <c r="J13">
        <v>12</v>
      </c>
      <c r="K13">
        <v>53408</v>
      </c>
      <c r="L13" s="1">
        <f t="shared" si="0"/>
        <v>-9251</v>
      </c>
      <c r="M13">
        <v>53931</v>
      </c>
      <c r="N13">
        <v>54949</v>
      </c>
      <c r="O13">
        <v>55949</v>
      </c>
    </row>
    <row r="14" spans="1:15">
      <c r="A14">
        <v>1</v>
      </c>
      <c r="B14">
        <v>13</v>
      </c>
      <c r="C14" s="1">
        <v>46894</v>
      </c>
      <c r="D14" s="1">
        <v>64900</v>
      </c>
      <c r="E14" s="1">
        <v>69421</v>
      </c>
      <c r="F14" s="1">
        <v>73071</v>
      </c>
      <c r="G14" s="1">
        <v>76512</v>
      </c>
      <c r="J14">
        <v>13</v>
      </c>
      <c r="K14">
        <v>54158</v>
      </c>
      <c r="L14" s="1">
        <f t="shared" si="0"/>
        <v>-10742</v>
      </c>
      <c r="M14">
        <v>54681</v>
      </c>
      <c r="N14">
        <v>55699</v>
      </c>
      <c r="O14">
        <v>56699</v>
      </c>
    </row>
    <row r="15" spans="1:15">
      <c r="A15">
        <v>0</v>
      </c>
      <c r="B15">
        <v>14</v>
      </c>
      <c r="C15" s="1">
        <v>47730</v>
      </c>
      <c r="D15" s="1">
        <v>67141</v>
      </c>
      <c r="E15" s="1">
        <v>73609</v>
      </c>
      <c r="F15" s="1">
        <v>76312</v>
      </c>
      <c r="G15" s="1">
        <v>78753</v>
      </c>
      <c r="J15">
        <v>14</v>
      </c>
      <c r="K15">
        <v>55158</v>
      </c>
      <c r="L15" s="1">
        <f t="shared" si="0"/>
        <v>-11983</v>
      </c>
      <c r="M15">
        <v>55681</v>
      </c>
      <c r="N15">
        <v>56699</v>
      </c>
      <c r="O15">
        <v>57699</v>
      </c>
    </row>
    <row r="16" spans="1:15">
      <c r="A16" s="2">
        <v>0</v>
      </c>
      <c r="B16" s="2">
        <v>15</v>
      </c>
      <c r="C16" s="3">
        <v>47730</v>
      </c>
      <c r="D16" s="3">
        <v>67141</v>
      </c>
      <c r="E16" s="3">
        <v>73609</v>
      </c>
      <c r="F16" s="3">
        <v>76312</v>
      </c>
      <c r="G16" s="3">
        <v>78753</v>
      </c>
      <c r="J16">
        <v>15</v>
      </c>
      <c r="K16">
        <v>56458</v>
      </c>
      <c r="L16" s="1">
        <f t="shared" si="0"/>
        <v>-10683</v>
      </c>
      <c r="M16">
        <v>56981</v>
      </c>
      <c r="N16">
        <v>57999</v>
      </c>
      <c r="O16">
        <v>58999</v>
      </c>
    </row>
    <row r="17" spans="1:15">
      <c r="A17" s="2">
        <v>0</v>
      </c>
      <c r="B17" s="2">
        <v>16</v>
      </c>
      <c r="C17" s="3">
        <v>47730</v>
      </c>
      <c r="D17" s="3">
        <v>67141</v>
      </c>
      <c r="E17" s="3">
        <v>73609</v>
      </c>
      <c r="F17" s="3">
        <v>76312</v>
      </c>
      <c r="G17" s="3">
        <v>78753</v>
      </c>
      <c r="J17">
        <v>16</v>
      </c>
      <c r="K17">
        <v>57758</v>
      </c>
      <c r="L17" s="1">
        <f t="shared" si="0"/>
        <v>-9383</v>
      </c>
      <c r="M17">
        <v>58281</v>
      </c>
      <c r="N17">
        <v>59299</v>
      </c>
      <c r="O17">
        <v>60299</v>
      </c>
    </row>
    <row r="18" spans="1:15">
      <c r="A18" s="2">
        <v>0</v>
      </c>
      <c r="B18" s="2">
        <v>17</v>
      </c>
      <c r="C18" s="3">
        <v>47730</v>
      </c>
      <c r="D18" s="3">
        <v>67141</v>
      </c>
      <c r="E18" s="3">
        <v>73609</v>
      </c>
      <c r="F18" s="3">
        <v>76312</v>
      </c>
      <c r="G18" s="3">
        <v>78753</v>
      </c>
      <c r="J18">
        <v>17</v>
      </c>
      <c r="K18">
        <v>59308</v>
      </c>
      <c r="L18" s="1">
        <f t="shared" si="0"/>
        <v>-7833</v>
      </c>
      <c r="M18">
        <v>59831</v>
      </c>
      <c r="N18">
        <v>60849</v>
      </c>
      <c r="O18">
        <v>61849</v>
      </c>
    </row>
    <row r="19" spans="1:15">
      <c r="A19" s="2">
        <v>0</v>
      </c>
      <c r="B19" s="2">
        <v>18</v>
      </c>
      <c r="C19" s="3">
        <v>47730</v>
      </c>
      <c r="D19" s="3">
        <v>67141</v>
      </c>
      <c r="E19" s="3">
        <v>73609</v>
      </c>
      <c r="F19" s="3">
        <v>76312</v>
      </c>
      <c r="G19" s="3">
        <v>78753</v>
      </c>
      <c r="J19">
        <v>18</v>
      </c>
      <c r="K19">
        <v>61908</v>
      </c>
      <c r="L19" s="1">
        <f t="shared" si="0"/>
        <v>-5233</v>
      </c>
      <c r="M19">
        <v>62431</v>
      </c>
      <c r="N19">
        <v>63449</v>
      </c>
      <c r="O19">
        <v>64449</v>
      </c>
    </row>
    <row r="20" spans="1:15">
      <c r="A20" s="2">
        <v>0</v>
      </c>
      <c r="B20" s="2">
        <v>19</v>
      </c>
      <c r="C20" s="3">
        <v>47730</v>
      </c>
      <c r="D20" s="3">
        <v>67141</v>
      </c>
      <c r="E20" s="3">
        <v>73609</v>
      </c>
      <c r="F20" s="3">
        <v>76312</v>
      </c>
      <c r="G20" s="3">
        <v>78753</v>
      </c>
      <c r="J20">
        <v>19</v>
      </c>
      <c r="K20">
        <v>65958</v>
      </c>
      <c r="L20" s="1">
        <f t="shared" si="0"/>
        <v>-1183</v>
      </c>
      <c r="M20">
        <v>66481</v>
      </c>
      <c r="N20">
        <v>67499</v>
      </c>
      <c r="O20">
        <v>68499</v>
      </c>
    </row>
    <row r="21" spans="1:15">
      <c r="A21" s="2">
        <v>0</v>
      </c>
      <c r="B21" s="2">
        <v>20</v>
      </c>
      <c r="C21" s="3">
        <v>47730</v>
      </c>
      <c r="D21" s="3">
        <v>67141</v>
      </c>
      <c r="E21" s="3">
        <v>73609</v>
      </c>
      <c r="F21" s="3">
        <v>76312</v>
      </c>
      <c r="G21" s="3">
        <v>78753</v>
      </c>
      <c r="J21">
        <v>20</v>
      </c>
      <c r="K21">
        <v>69533</v>
      </c>
      <c r="L21" s="1">
        <f t="shared" si="0"/>
        <v>2392</v>
      </c>
      <c r="M21">
        <v>70056</v>
      </c>
      <c r="N21">
        <v>71074</v>
      </c>
      <c r="O21">
        <v>72074</v>
      </c>
    </row>
    <row r="22" spans="1:15">
      <c r="A22" s="2">
        <v>0</v>
      </c>
      <c r="B22" s="2">
        <v>21</v>
      </c>
      <c r="C22" s="3">
        <v>47730</v>
      </c>
      <c r="D22" s="3">
        <v>67141</v>
      </c>
      <c r="E22" s="3">
        <v>73609</v>
      </c>
      <c r="F22" s="3">
        <v>76312</v>
      </c>
      <c r="G22" s="3">
        <v>78753</v>
      </c>
      <c r="J22">
        <v>21</v>
      </c>
      <c r="K22">
        <v>73574</v>
      </c>
      <c r="L22" s="1">
        <f t="shared" si="0"/>
        <v>6433</v>
      </c>
      <c r="M22">
        <v>74846</v>
      </c>
      <c r="N22">
        <v>75615</v>
      </c>
      <c r="O22">
        <v>75715</v>
      </c>
    </row>
    <row r="26" spans="1:15">
      <c r="A26" t="s">
        <v>12</v>
      </c>
    </row>
    <row r="27" spans="1:15">
      <c r="A27" t="s">
        <v>13</v>
      </c>
    </row>
    <row r="28" spans="1:15">
      <c r="A28" t="s">
        <v>14</v>
      </c>
    </row>
    <row r="29" spans="1:15">
      <c r="A29" t="s">
        <v>15</v>
      </c>
    </row>
    <row r="31" spans="1:15">
      <c r="A31" t="s">
        <v>16</v>
      </c>
      <c r="B31">
        <v>185</v>
      </c>
    </row>
    <row r="32" spans="1:15">
      <c r="A32" t="s">
        <v>17</v>
      </c>
      <c r="B32">
        <v>450</v>
      </c>
    </row>
    <row r="33" spans="1:2">
      <c r="A33" t="s">
        <v>18</v>
      </c>
      <c r="B33">
        <f>B32/60</f>
        <v>7.5</v>
      </c>
    </row>
    <row r="34" spans="1:2">
      <c r="A34" t="s">
        <v>19</v>
      </c>
      <c r="B34">
        <v>6</v>
      </c>
    </row>
    <row r="35" spans="1:2">
      <c r="A35" t="s">
        <v>20</v>
      </c>
      <c r="B35">
        <f>(B31*B33)+B34</f>
        <v>1393.5</v>
      </c>
    </row>
  </sheetData>
  <conditionalFormatting sqref="L3:L22">
    <cfRule type="cellIs" dxfId="9" priority="1" operator="lessThan">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8869-0F56-49AE-B982-EDA1849A82E9}">
  <dimension ref="A1:Q33"/>
  <sheetViews>
    <sheetView topLeftCell="A22" workbookViewId="0">
      <selection activeCell="G3" sqref="G3"/>
    </sheetView>
  </sheetViews>
  <sheetFormatPr defaultRowHeight="14.45"/>
  <sheetData>
    <row r="1" spans="1:17" ht="15">
      <c r="A1" s="4" t="s">
        <v>21</v>
      </c>
    </row>
    <row r="2" spans="1:17">
      <c r="A2" t="s">
        <v>0</v>
      </c>
      <c r="B2" t="s">
        <v>22</v>
      </c>
      <c r="C2" t="s">
        <v>23</v>
      </c>
      <c r="D2" t="s">
        <v>24</v>
      </c>
      <c r="E2" t="s">
        <v>3</v>
      </c>
      <c r="F2" t="s">
        <v>25</v>
      </c>
      <c r="G2" t="s">
        <v>26</v>
      </c>
      <c r="H2" t="s">
        <v>6</v>
      </c>
      <c r="I2" t="s">
        <v>27</v>
      </c>
      <c r="L2" t="s">
        <v>7</v>
      </c>
      <c r="M2" t="s">
        <v>8</v>
      </c>
      <c r="N2" t="s">
        <v>9</v>
      </c>
      <c r="O2" t="s">
        <v>10</v>
      </c>
      <c r="P2" t="s">
        <v>11</v>
      </c>
      <c r="Q2" t="s">
        <v>6</v>
      </c>
    </row>
    <row r="3" spans="1:17">
      <c r="A3">
        <v>15</v>
      </c>
      <c r="B3">
        <v>1</v>
      </c>
      <c r="C3">
        <v>42108</v>
      </c>
      <c r="D3">
        <v>44292</v>
      </c>
      <c r="E3">
        <v>46405</v>
      </c>
      <c r="F3">
        <v>48908</v>
      </c>
      <c r="G3">
        <v>50240</v>
      </c>
      <c r="H3">
        <v>51540</v>
      </c>
      <c r="I3">
        <v>52840</v>
      </c>
      <c r="L3">
        <v>1</v>
      </c>
      <c r="M3">
        <v>0</v>
      </c>
      <c r="O3">
        <v>0</v>
      </c>
      <c r="P3">
        <v>0</v>
      </c>
      <c r="Q3">
        <v>0</v>
      </c>
    </row>
    <row r="4" spans="1:17">
      <c r="A4">
        <v>14</v>
      </c>
      <c r="B4">
        <v>2</v>
      </c>
      <c r="C4">
        <v>42628</v>
      </c>
      <c r="D4">
        <v>44712</v>
      </c>
      <c r="E4">
        <v>46825</v>
      </c>
      <c r="F4">
        <v>49363</v>
      </c>
      <c r="G4">
        <v>50705</v>
      </c>
      <c r="H4">
        <v>52010</v>
      </c>
      <c r="I4">
        <v>53315</v>
      </c>
      <c r="L4">
        <v>2</v>
      </c>
      <c r="M4">
        <v>45208</v>
      </c>
      <c r="N4">
        <f>M4 - C4</f>
        <v>2580</v>
      </c>
      <c r="O4">
        <v>45731</v>
      </c>
      <c r="P4">
        <v>46749</v>
      </c>
      <c r="Q4">
        <v>47749</v>
      </c>
    </row>
    <row r="5" spans="1:17">
      <c r="A5">
        <v>13</v>
      </c>
      <c r="B5">
        <v>3</v>
      </c>
      <c r="C5">
        <v>42948</v>
      </c>
      <c r="D5">
        <v>45132</v>
      </c>
      <c r="E5">
        <v>47245</v>
      </c>
      <c r="F5">
        <v>49808</v>
      </c>
      <c r="G5">
        <v>51156</v>
      </c>
      <c r="H5">
        <v>52466</v>
      </c>
      <c r="I5">
        <v>53775</v>
      </c>
      <c r="L5">
        <v>3</v>
      </c>
      <c r="M5">
        <v>45808</v>
      </c>
      <c r="N5">
        <f t="shared" ref="N5:N23" si="0">M5 - C5</f>
        <v>2860</v>
      </c>
      <c r="O5">
        <v>46331</v>
      </c>
      <c r="P5">
        <v>47349</v>
      </c>
      <c r="Q5">
        <v>48349</v>
      </c>
    </row>
    <row r="6" spans="1:17">
      <c r="A6">
        <v>12</v>
      </c>
      <c r="B6">
        <v>4</v>
      </c>
      <c r="C6">
        <v>43369</v>
      </c>
      <c r="D6">
        <v>45553</v>
      </c>
      <c r="E6">
        <v>47666</v>
      </c>
      <c r="F6">
        <v>50299</v>
      </c>
      <c r="G6">
        <v>51661</v>
      </c>
      <c r="H6">
        <v>52976</v>
      </c>
      <c r="I6">
        <v>54286</v>
      </c>
      <c r="L6">
        <v>4</v>
      </c>
      <c r="M6">
        <v>46408</v>
      </c>
      <c r="N6">
        <f t="shared" si="0"/>
        <v>3039</v>
      </c>
      <c r="O6">
        <v>46931</v>
      </c>
      <c r="P6">
        <v>47949</v>
      </c>
      <c r="Q6">
        <v>48949</v>
      </c>
    </row>
    <row r="7" spans="1:17">
      <c r="A7">
        <v>11</v>
      </c>
      <c r="B7">
        <v>5</v>
      </c>
      <c r="C7">
        <v>43824</v>
      </c>
      <c r="D7">
        <v>46008</v>
      </c>
      <c r="E7">
        <v>48121</v>
      </c>
      <c r="F7">
        <v>50754</v>
      </c>
      <c r="G7">
        <v>52116</v>
      </c>
      <c r="H7">
        <v>53431</v>
      </c>
      <c r="I7">
        <v>54741</v>
      </c>
      <c r="L7">
        <v>5</v>
      </c>
      <c r="M7">
        <v>47408</v>
      </c>
      <c r="N7">
        <f t="shared" si="0"/>
        <v>3584</v>
      </c>
      <c r="O7">
        <v>47931</v>
      </c>
      <c r="P7">
        <v>48949</v>
      </c>
      <c r="Q7">
        <v>49949</v>
      </c>
    </row>
    <row r="8" spans="1:17">
      <c r="A8">
        <v>10</v>
      </c>
      <c r="B8">
        <v>6</v>
      </c>
      <c r="C8">
        <v>45100</v>
      </c>
      <c r="D8">
        <v>47283</v>
      </c>
      <c r="E8">
        <v>49396</v>
      </c>
      <c r="F8">
        <v>52105</v>
      </c>
      <c r="G8">
        <v>53567</v>
      </c>
      <c r="H8">
        <v>54942</v>
      </c>
      <c r="I8">
        <v>56381</v>
      </c>
      <c r="L8">
        <v>6</v>
      </c>
      <c r="M8">
        <v>48408</v>
      </c>
      <c r="N8">
        <f t="shared" si="0"/>
        <v>3308</v>
      </c>
      <c r="O8">
        <v>48931</v>
      </c>
      <c r="P8">
        <v>49949</v>
      </c>
      <c r="Q8">
        <v>50949</v>
      </c>
    </row>
    <row r="9" spans="1:17">
      <c r="A9">
        <v>9</v>
      </c>
      <c r="B9">
        <v>7</v>
      </c>
      <c r="C9">
        <v>46603</v>
      </c>
      <c r="D9">
        <v>48787</v>
      </c>
      <c r="E9">
        <v>50900</v>
      </c>
      <c r="F9">
        <v>53608</v>
      </c>
      <c r="G9">
        <v>55070</v>
      </c>
      <c r="H9">
        <v>56445</v>
      </c>
      <c r="I9">
        <v>57885</v>
      </c>
      <c r="L9">
        <v>7</v>
      </c>
      <c r="M9">
        <v>49458</v>
      </c>
      <c r="N9">
        <f t="shared" si="0"/>
        <v>2855</v>
      </c>
      <c r="O9">
        <v>49981</v>
      </c>
      <c r="P9">
        <v>50999</v>
      </c>
      <c r="Q9">
        <v>51999</v>
      </c>
    </row>
    <row r="10" spans="1:17">
      <c r="A10">
        <v>8</v>
      </c>
      <c r="B10">
        <v>8</v>
      </c>
      <c r="C10">
        <v>48183</v>
      </c>
      <c r="D10">
        <v>50365</v>
      </c>
      <c r="E10">
        <v>52478</v>
      </c>
      <c r="F10">
        <v>55188</v>
      </c>
      <c r="G10">
        <v>56650</v>
      </c>
      <c r="H10">
        <v>58025</v>
      </c>
      <c r="I10">
        <v>59464</v>
      </c>
      <c r="L10">
        <v>8</v>
      </c>
      <c r="M10">
        <v>50358</v>
      </c>
      <c r="N10">
        <f t="shared" si="0"/>
        <v>2175</v>
      </c>
      <c r="O10">
        <v>50881</v>
      </c>
      <c r="P10">
        <v>51899</v>
      </c>
      <c r="Q10">
        <v>52899</v>
      </c>
    </row>
    <row r="11" spans="1:17">
      <c r="A11">
        <v>7</v>
      </c>
      <c r="B11">
        <v>9</v>
      </c>
      <c r="C11">
        <v>49836</v>
      </c>
      <c r="D11">
        <v>52020</v>
      </c>
      <c r="E11">
        <v>54133</v>
      </c>
      <c r="F11">
        <v>56841</v>
      </c>
      <c r="G11">
        <v>58304</v>
      </c>
      <c r="H11">
        <v>59679</v>
      </c>
      <c r="I11">
        <v>61119</v>
      </c>
      <c r="L11">
        <v>9</v>
      </c>
      <c r="M11">
        <v>51158</v>
      </c>
      <c r="N11">
        <f t="shared" si="0"/>
        <v>1322</v>
      </c>
      <c r="O11">
        <v>51681</v>
      </c>
      <c r="P11">
        <v>52699</v>
      </c>
      <c r="Q11">
        <v>53699</v>
      </c>
    </row>
    <row r="12" spans="1:17">
      <c r="A12">
        <v>6</v>
      </c>
      <c r="B12">
        <v>10</v>
      </c>
      <c r="C12">
        <v>51416</v>
      </c>
      <c r="D12">
        <v>53599</v>
      </c>
      <c r="E12">
        <v>55712</v>
      </c>
      <c r="F12">
        <v>58421</v>
      </c>
      <c r="G12">
        <v>59883</v>
      </c>
      <c r="H12">
        <v>61258</v>
      </c>
      <c r="I12">
        <v>62697</v>
      </c>
      <c r="L12">
        <v>10</v>
      </c>
      <c r="M12">
        <v>52008</v>
      </c>
      <c r="N12">
        <f t="shared" si="0"/>
        <v>592</v>
      </c>
      <c r="O12">
        <v>52531</v>
      </c>
      <c r="P12">
        <v>53549</v>
      </c>
      <c r="Q12">
        <v>54549</v>
      </c>
    </row>
    <row r="13" spans="1:17">
      <c r="A13">
        <v>5</v>
      </c>
      <c r="B13">
        <v>11</v>
      </c>
      <c r="C13">
        <v>52994</v>
      </c>
      <c r="D13">
        <v>55178</v>
      </c>
      <c r="E13">
        <v>57291</v>
      </c>
      <c r="F13">
        <v>59999</v>
      </c>
      <c r="G13">
        <v>61462</v>
      </c>
      <c r="H13">
        <v>62838</v>
      </c>
      <c r="I13">
        <v>64277</v>
      </c>
      <c r="L13">
        <v>11</v>
      </c>
      <c r="M13">
        <v>52758</v>
      </c>
      <c r="N13">
        <f t="shared" si="0"/>
        <v>-236</v>
      </c>
      <c r="O13">
        <v>53281</v>
      </c>
      <c r="P13">
        <v>54299</v>
      </c>
      <c r="Q13">
        <v>55299</v>
      </c>
    </row>
    <row r="14" spans="1:17">
      <c r="A14">
        <v>4</v>
      </c>
      <c r="B14">
        <v>12</v>
      </c>
      <c r="C14">
        <v>54574</v>
      </c>
      <c r="D14">
        <v>56757</v>
      </c>
      <c r="E14">
        <v>58870</v>
      </c>
      <c r="F14">
        <v>61579</v>
      </c>
      <c r="G14">
        <v>63041</v>
      </c>
      <c r="H14">
        <v>64416</v>
      </c>
      <c r="I14">
        <v>65855</v>
      </c>
      <c r="L14">
        <v>12</v>
      </c>
      <c r="M14">
        <v>53408</v>
      </c>
      <c r="N14">
        <f t="shared" si="0"/>
        <v>-1166</v>
      </c>
      <c r="O14">
        <v>53931</v>
      </c>
      <c r="P14">
        <v>54949</v>
      </c>
      <c r="Q14">
        <v>55949</v>
      </c>
    </row>
    <row r="15" spans="1:17">
      <c r="A15">
        <v>3</v>
      </c>
      <c r="B15">
        <v>13</v>
      </c>
      <c r="C15">
        <v>56152</v>
      </c>
      <c r="D15">
        <v>58336</v>
      </c>
      <c r="E15">
        <v>60449</v>
      </c>
      <c r="F15">
        <v>63157</v>
      </c>
      <c r="G15">
        <v>64620</v>
      </c>
      <c r="H15">
        <v>65995</v>
      </c>
      <c r="I15">
        <v>67435</v>
      </c>
      <c r="L15">
        <v>13</v>
      </c>
      <c r="M15">
        <v>54158</v>
      </c>
      <c r="N15">
        <f t="shared" si="0"/>
        <v>-1994</v>
      </c>
      <c r="O15">
        <v>54681</v>
      </c>
      <c r="P15">
        <v>55699</v>
      </c>
      <c r="Q15">
        <v>56699</v>
      </c>
    </row>
    <row r="16" spans="1:17">
      <c r="A16">
        <v>2</v>
      </c>
      <c r="B16">
        <v>14</v>
      </c>
      <c r="C16">
        <v>57732</v>
      </c>
      <c r="D16">
        <v>59915</v>
      </c>
      <c r="E16">
        <v>62028</v>
      </c>
      <c r="F16">
        <v>64737</v>
      </c>
      <c r="G16">
        <v>66199</v>
      </c>
      <c r="H16">
        <v>67574</v>
      </c>
      <c r="I16">
        <v>69013</v>
      </c>
      <c r="L16">
        <v>14</v>
      </c>
      <c r="M16">
        <v>55158</v>
      </c>
      <c r="N16">
        <f t="shared" si="0"/>
        <v>-2574</v>
      </c>
      <c r="O16">
        <v>55681</v>
      </c>
      <c r="P16">
        <v>56699</v>
      </c>
      <c r="Q16">
        <v>57699</v>
      </c>
    </row>
    <row r="17" spans="1:17">
      <c r="A17">
        <v>1</v>
      </c>
      <c r="B17">
        <v>15</v>
      </c>
      <c r="C17">
        <v>59454</v>
      </c>
      <c r="D17">
        <v>61638</v>
      </c>
      <c r="E17">
        <v>63751</v>
      </c>
      <c r="F17">
        <v>66459</v>
      </c>
      <c r="G17">
        <v>67921</v>
      </c>
      <c r="H17">
        <v>69296</v>
      </c>
      <c r="I17">
        <v>70736</v>
      </c>
      <c r="L17">
        <v>15</v>
      </c>
      <c r="M17">
        <v>56458</v>
      </c>
      <c r="N17">
        <f t="shared" si="0"/>
        <v>-2996</v>
      </c>
      <c r="O17">
        <v>56981</v>
      </c>
      <c r="P17">
        <v>57999</v>
      </c>
      <c r="Q17">
        <v>58999</v>
      </c>
    </row>
    <row r="18" spans="1:17">
      <c r="A18">
        <v>0</v>
      </c>
      <c r="B18">
        <v>16</v>
      </c>
      <c r="C18">
        <v>61547</v>
      </c>
      <c r="D18">
        <v>63730</v>
      </c>
      <c r="E18">
        <v>65843</v>
      </c>
      <c r="F18">
        <v>68978</v>
      </c>
      <c r="G18">
        <v>70440</v>
      </c>
      <c r="H18">
        <v>71815</v>
      </c>
      <c r="I18">
        <v>73254</v>
      </c>
      <c r="L18">
        <v>16</v>
      </c>
      <c r="M18">
        <v>57758</v>
      </c>
      <c r="N18">
        <f t="shared" si="0"/>
        <v>-3789</v>
      </c>
      <c r="O18">
        <v>58281</v>
      </c>
      <c r="P18">
        <v>59299</v>
      </c>
      <c r="Q18">
        <v>60299</v>
      </c>
    </row>
    <row r="19" spans="1:17">
      <c r="A19" s="2">
        <v>0</v>
      </c>
      <c r="B19" s="2">
        <v>17</v>
      </c>
      <c r="C19" s="2">
        <v>61547</v>
      </c>
      <c r="D19" s="2">
        <v>63730</v>
      </c>
      <c r="E19" s="2">
        <v>65843</v>
      </c>
      <c r="F19" s="2">
        <v>68978</v>
      </c>
      <c r="G19" s="2">
        <v>70440</v>
      </c>
      <c r="H19" s="2">
        <v>71815</v>
      </c>
      <c r="I19" s="2">
        <v>73254</v>
      </c>
      <c r="L19">
        <v>17</v>
      </c>
      <c r="M19">
        <v>59308</v>
      </c>
      <c r="N19">
        <f t="shared" si="0"/>
        <v>-2239</v>
      </c>
      <c r="O19">
        <v>59831</v>
      </c>
      <c r="P19">
        <v>60849</v>
      </c>
      <c r="Q19">
        <v>61849</v>
      </c>
    </row>
    <row r="20" spans="1:17">
      <c r="A20" s="2">
        <v>0</v>
      </c>
      <c r="B20" s="2">
        <v>18</v>
      </c>
      <c r="C20" s="2">
        <v>61547</v>
      </c>
      <c r="D20" s="2">
        <v>63730</v>
      </c>
      <c r="E20" s="2">
        <v>65843</v>
      </c>
      <c r="F20" s="2">
        <v>68978</v>
      </c>
      <c r="G20" s="2">
        <v>70440</v>
      </c>
      <c r="H20" s="2">
        <v>71815</v>
      </c>
      <c r="I20" s="2">
        <v>73254</v>
      </c>
      <c r="L20">
        <v>18</v>
      </c>
      <c r="M20">
        <v>61908</v>
      </c>
      <c r="N20">
        <f t="shared" si="0"/>
        <v>361</v>
      </c>
      <c r="O20">
        <v>62431</v>
      </c>
      <c r="P20">
        <v>63449</v>
      </c>
      <c r="Q20">
        <v>64449</v>
      </c>
    </row>
    <row r="21" spans="1:17">
      <c r="A21" s="2">
        <v>0</v>
      </c>
      <c r="B21" s="2">
        <v>19</v>
      </c>
      <c r="C21" s="2">
        <v>61547</v>
      </c>
      <c r="D21" s="2">
        <v>63730</v>
      </c>
      <c r="E21" s="2">
        <v>65843</v>
      </c>
      <c r="F21" s="2">
        <v>68978</v>
      </c>
      <c r="G21" s="2">
        <v>70440</v>
      </c>
      <c r="H21" s="2">
        <v>71815</v>
      </c>
      <c r="I21" s="2">
        <v>73254</v>
      </c>
      <c r="L21">
        <v>19</v>
      </c>
      <c r="M21">
        <v>65958</v>
      </c>
      <c r="N21">
        <f t="shared" si="0"/>
        <v>4411</v>
      </c>
      <c r="O21">
        <v>66481</v>
      </c>
      <c r="P21">
        <v>67499</v>
      </c>
      <c r="Q21">
        <v>68499</v>
      </c>
    </row>
    <row r="22" spans="1:17">
      <c r="A22" s="2">
        <v>0</v>
      </c>
      <c r="B22" s="2">
        <v>20</v>
      </c>
      <c r="C22" s="2">
        <v>61547</v>
      </c>
      <c r="D22" s="2">
        <v>63730</v>
      </c>
      <c r="E22" s="2">
        <v>65843</v>
      </c>
      <c r="F22" s="2">
        <v>68978</v>
      </c>
      <c r="G22" s="2">
        <v>70440</v>
      </c>
      <c r="H22" s="2">
        <v>71815</v>
      </c>
      <c r="I22" s="2">
        <v>73254</v>
      </c>
      <c r="L22">
        <v>20</v>
      </c>
      <c r="M22">
        <v>69533</v>
      </c>
      <c r="N22">
        <f t="shared" si="0"/>
        <v>7986</v>
      </c>
      <c r="O22">
        <v>70056</v>
      </c>
      <c r="P22">
        <v>71074</v>
      </c>
      <c r="Q22">
        <v>72074</v>
      </c>
    </row>
    <row r="23" spans="1:17">
      <c r="A23" s="2">
        <v>0</v>
      </c>
      <c r="B23" s="2">
        <v>21</v>
      </c>
      <c r="C23" s="2">
        <v>61547</v>
      </c>
      <c r="D23" s="2">
        <v>63730</v>
      </c>
      <c r="E23" s="2">
        <v>65843</v>
      </c>
      <c r="F23" s="2">
        <v>68978</v>
      </c>
      <c r="G23" s="2">
        <v>70440</v>
      </c>
      <c r="H23" s="2">
        <v>71815</v>
      </c>
      <c r="I23" s="2">
        <v>73254</v>
      </c>
      <c r="L23">
        <v>21</v>
      </c>
      <c r="M23">
        <v>73574</v>
      </c>
      <c r="N23">
        <f t="shared" si="0"/>
        <v>12027</v>
      </c>
      <c r="O23">
        <v>74846</v>
      </c>
      <c r="P23">
        <v>75615</v>
      </c>
      <c r="Q23">
        <v>75715</v>
      </c>
    </row>
    <row r="25" spans="1:17">
      <c r="A25" t="s">
        <v>28</v>
      </c>
    </row>
    <row r="26" spans="1:17">
      <c r="A26" t="s">
        <v>13</v>
      </c>
    </row>
    <row r="27" spans="1:17">
      <c r="A27" t="s">
        <v>14</v>
      </c>
    </row>
    <row r="29" spans="1:17">
      <c r="A29" t="s">
        <v>16</v>
      </c>
      <c r="B29">
        <v>185</v>
      </c>
    </row>
    <row r="30" spans="1:17">
      <c r="A30" t="s">
        <v>17</v>
      </c>
      <c r="B30">
        <v>450</v>
      </c>
    </row>
    <row r="31" spans="1:17">
      <c r="A31" t="s">
        <v>18</v>
      </c>
      <c r="B31">
        <f>B30/60</f>
        <v>7.5</v>
      </c>
    </row>
    <row r="32" spans="1:17">
      <c r="A32" t="s">
        <v>19</v>
      </c>
    </row>
    <row r="33" spans="1:2">
      <c r="A33" t="s">
        <v>20</v>
      </c>
      <c r="B33">
        <f>(B29*B31)+B32</f>
        <v>1387.5</v>
      </c>
    </row>
  </sheetData>
  <conditionalFormatting sqref="N4:N23">
    <cfRule type="cellIs" dxfId="8" priority="1" operator="less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6EF0-DA60-41F2-841E-BEBA8A9AE38F}">
  <dimension ref="A1:L32"/>
  <sheetViews>
    <sheetView workbookViewId="0">
      <selection activeCell="A31" sqref="A31:B32"/>
    </sheetView>
  </sheetViews>
  <sheetFormatPr defaultRowHeight="14.45"/>
  <sheetData>
    <row r="1" spans="1:12">
      <c r="A1" t="s">
        <v>29</v>
      </c>
      <c r="B1" t="s">
        <v>3</v>
      </c>
      <c r="C1" t="s">
        <v>5</v>
      </c>
      <c r="D1" t="s">
        <v>6</v>
      </c>
      <c r="E1" t="s">
        <v>27</v>
      </c>
      <c r="G1" t="s">
        <v>7</v>
      </c>
      <c r="H1" t="s">
        <v>8</v>
      </c>
      <c r="J1" t="s">
        <v>10</v>
      </c>
      <c r="K1" t="s">
        <v>11</v>
      </c>
      <c r="L1" t="s">
        <v>6</v>
      </c>
    </row>
    <row r="2" spans="1:12">
      <c r="A2">
        <v>1</v>
      </c>
      <c r="B2">
        <v>56750</v>
      </c>
      <c r="C2">
        <v>58739</v>
      </c>
      <c r="D2">
        <v>60894</v>
      </c>
      <c r="E2">
        <v>63048</v>
      </c>
      <c r="G2">
        <v>1</v>
      </c>
      <c r="H2">
        <v>0</v>
      </c>
      <c r="J2">
        <v>0</v>
      </c>
      <c r="K2">
        <v>0</v>
      </c>
      <c r="L2">
        <v>0</v>
      </c>
    </row>
    <row r="3" spans="1:12">
      <c r="A3">
        <v>2</v>
      </c>
      <c r="B3">
        <v>57057</v>
      </c>
      <c r="C3">
        <v>59046</v>
      </c>
      <c r="D3">
        <v>61201</v>
      </c>
      <c r="E3">
        <v>63355</v>
      </c>
      <c r="G3">
        <v>2</v>
      </c>
      <c r="H3">
        <v>45208</v>
      </c>
      <c r="I3">
        <f>H3-B3</f>
        <v>-11849</v>
      </c>
      <c r="J3">
        <v>45731</v>
      </c>
      <c r="K3">
        <v>46749</v>
      </c>
      <c r="L3">
        <v>47749</v>
      </c>
    </row>
    <row r="4" spans="1:12">
      <c r="A4">
        <v>3</v>
      </c>
      <c r="B4">
        <v>57364</v>
      </c>
      <c r="C4">
        <v>59353</v>
      </c>
      <c r="D4">
        <v>61508</v>
      </c>
      <c r="E4">
        <v>63662</v>
      </c>
      <c r="G4">
        <v>3</v>
      </c>
      <c r="H4">
        <v>45808</v>
      </c>
      <c r="I4">
        <f t="shared" ref="I4:I22" si="0">H4-B4</f>
        <v>-11556</v>
      </c>
      <c r="J4">
        <v>46331</v>
      </c>
      <c r="K4">
        <v>47349</v>
      </c>
      <c r="L4">
        <v>48349</v>
      </c>
    </row>
    <row r="5" spans="1:12">
      <c r="A5">
        <v>4</v>
      </c>
      <c r="B5">
        <v>57671</v>
      </c>
      <c r="C5">
        <v>59660</v>
      </c>
      <c r="D5">
        <v>61815</v>
      </c>
      <c r="E5">
        <v>63969</v>
      </c>
      <c r="G5">
        <v>4</v>
      </c>
      <c r="H5">
        <v>46408</v>
      </c>
      <c r="I5">
        <f t="shared" si="0"/>
        <v>-11263</v>
      </c>
      <c r="J5">
        <v>46931</v>
      </c>
      <c r="K5">
        <v>47949</v>
      </c>
      <c r="L5">
        <v>48949</v>
      </c>
    </row>
    <row r="6" spans="1:12">
      <c r="A6">
        <v>5</v>
      </c>
      <c r="B6">
        <v>59123</v>
      </c>
      <c r="C6">
        <v>61112</v>
      </c>
      <c r="D6">
        <v>63266</v>
      </c>
      <c r="E6">
        <v>65421</v>
      </c>
      <c r="G6">
        <v>5</v>
      </c>
      <c r="H6">
        <v>47408</v>
      </c>
      <c r="I6">
        <f t="shared" si="0"/>
        <v>-11715</v>
      </c>
      <c r="J6">
        <v>47931</v>
      </c>
      <c r="K6">
        <v>48949</v>
      </c>
      <c r="L6">
        <v>49949</v>
      </c>
    </row>
    <row r="7" spans="1:12">
      <c r="A7">
        <v>6</v>
      </c>
      <c r="B7">
        <v>60575</v>
      </c>
      <c r="C7">
        <v>62564</v>
      </c>
      <c r="D7">
        <v>64718</v>
      </c>
      <c r="E7">
        <v>66873</v>
      </c>
      <c r="G7">
        <v>6</v>
      </c>
      <c r="H7">
        <v>48408</v>
      </c>
      <c r="I7">
        <f t="shared" si="0"/>
        <v>-12167</v>
      </c>
      <c r="J7">
        <v>48931</v>
      </c>
      <c r="K7">
        <v>49949</v>
      </c>
      <c r="L7">
        <v>50949</v>
      </c>
    </row>
    <row r="8" spans="1:12">
      <c r="A8">
        <v>7</v>
      </c>
      <c r="B8">
        <v>62027</v>
      </c>
      <c r="C8">
        <v>64015</v>
      </c>
      <c r="D8">
        <v>66170</v>
      </c>
      <c r="E8">
        <v>68324</v>
      </c>
      <c r="G8">
        <v>7</v>
      </c>
      <c r="H8">
        <v>49458</v>
      </c>
      <c r="I8">
        <f t="shared" si="0"/>
        <v>-12569</v>
      </c>
      <c r="J8">
        <v>49981</v>
      </c>
      <c r="K8">
        <v>50999</v>
      </c>
      <c r="L8">
        <v>51999</v>
      </c>
    </row>
    <row r="9" spans="1:12">
      <c r="A9">
        <v>8</v>
      </c>
      <c r="B9">
        <v>63479</v>
      </c>
      <c r="C9">
        <v>65467</v>
      </c>
      <c r="D9">
        <v>67622</v>
      </c>
      <c r="E9">
        <v>69776</v>
      </c>
      <c r="G9">
        <v>8</v>
      </c>
      <c r="H9">
        <v>50358</v>
      </c>
      <c r="I9">
        <f t="shared" si="0"/>
        <v>-13121</v>
      </c>
      <c r="J9">
        <v>50881</v>
      </c>
      <c r="K9">
        <v>51899</v>
      </c>
      <c r="L9">
        <v>52899</v>
      </c>
    </row>
    <row r="10" spans="1:12">
      <c r="A10">
        <v>9</v>
      </c>
      <c r="B10">
        <v>64930</v>
      </c>
      <c r="C10">
        <v>66919</v>
      </c>
      <c r="D10">
        <v>69074</v>
      </c>
      <c r="E10">
        <v>71228</v>
      </c>
      <c r="G10">
        <v>9</v>
      </c>
      <c r="H10">
        <v>51158</v>
      </c>
      <c r="I10">
        <f t="shared" si="0"/>
        <v>-13772</v>
      </c>
      <c r="J10">
        <v>51681</v>
      </c>
      <c r="K10">
        <v>52699</v>
      </c>
      <c r="L10">
        <v>53699</v>
      </c>
    </row>
    <row r="11" spans="1:12">
      <c r="A11">
        <v>10</v>
      </c>
      <c r="B11">
        <v>66382</v>
      </c>
      <c r="C11">
        <v>68371</v>
      </c>
      <c r="D11">
        <v>70525</v>
      </c>
      <c r="E11">
        <v>72680</v>
      </c>
      <c r="G11">
        <v>10</v>
      </c>
      <c r="H11">
        <v>52008</v>
      </c>
      <c r="I11">
        <f t="shared" si="0"/>
        <v>-14374</v>
      </c>
      <c r="J11">
        <v>52531</v>
      </c>
      <c r="K11">
        <v>53549</v>
      </c>
      <c r="L11">
        <v>54549</v>
      </c>
    </row>
    <row r="12" spans="1:12">
      <c r="A12">
        <v>11</v>
      </c>
      <c r="B12">
        <v>67834</v>
      </c>
      <c r="C12">
        <v>69823</v>
      </c>
      <c r="D12">
        <v>71977</v>
      </c>
      <c r="E12">
        <v>74132</v>
      </c>
      <c r="G12">
        <v>11</v>
      </c>
      <c r="H12">
        <v>52758</v>
      </c>
      <c r="I12">
        <f t="shared" si="0"/>
        <v>-15076</v>
      </c>
      <c r="J12">
        <v>53281</v>
      </c>
      <c r="K12">
        <v>54299</v>
      </c>
      <c r="L12">
        <v>55299</v>
      </c>
    </row>
    <row r="13" spans="1:12">
      <c r="A13">
        <v>12</v>
      </c>
      <c r="B13">
        <v>69286</v>
      </c>
      <c r="C13">
        <v>71274</v>
      </c>
      <c r="D13">
        <v>73429</v>
      </c>
      <c r="E13">
        <v>75583</v>
      </c>
      <c r="G13">
        <v>12</v>
      </c>
      <c r="H13">
        <v>53408</v>
      </c>
      <c r="I13">
        <f t="shared" si="0"/>
        <v>-15878</v>
      </c>
      <c r="J13">
        <v>53931</v>
      </c>
      <c r="K13">
        <v>54949</v>
      </c>
      <c r="L13">
        <v>55949</v>
      </c>
    </row>
    <row r="14" spans="1:12">
      <c r="A14">
        <v>13</v>
      </c>
      <c r="B14">
        <v>70737</v>
      </c>
      <c r="C14">
        <v>72726</v>
      </c>
      <c r="D14">
        <v>74881</v>
      </c>
      <c r="E14">
        <v>77035</v>
      </c>
      <c r="G14">
        <v>13</v>
      </c>
      <c r="H14">
        <v>54158</v>
      </c>
      <c r="I14">
        <f t="shared" si="0"/>
        <v>-16579</v>
      </c>
      <c r="J14">
        <v>54681</v>
      </c>
      <c r="K14">
        <v>55699</v>
      </c>
      <c r="L14">
        <v>56699</v>
      </c>
    </row>
    <row r="15" spans="1:12">
      <c r="A15">
        <v>14</v>
      </c>
      <c r="B15">
        <v>72189</v>
      </c>
      <c r="C15">
        <v>74178</v>
      </c>
      <c r="D15">
        <v>76332</v>
      </c>
      <c r="E15">
        <v>78487</v>
      </c>
      <c r="G15">
        <v>14</v>
      </c>
      <c r="H15">
        <v>55158</v>
      </c>
      <c r="I15">
        <f t="shared" si="0"/>
        <v>-17031</v>
      </c>
      <c r="J15">
        <v>55681</v>
      </c>
      <c r="K15">
        <v>56699</v>
      </c>
      <c r="L15">
        <v>57699</v>
      </c>
    </row>
    <row r="16" spans="1:12">
      <c r="A16">
        <v>15</v>
      </c>
      <c r="B16">
        <v>73641</v>
      </c>
      <c r="C16">
        <v>75630</v>
      </c>
      <c r="D16">
        <v>77784</v>
      </c>
      <c r="E16">
        <v>79939</v>
      </c>
      <c r="G16">
        <v>15</v>
      </c>
      <c r="H16">
        <v>56458</v>
      </c>
      <c r="I16">
        <f t="shared" si="0"/>
        <v>-17183</v>
      </c>
      <c r="J16">
        <v>56981</v>
      </c>
      <c r="K16">
        <v>57999</v>
      </c>
      <c r="L16">
        <v>58999</v>
      </c>
    </row>
    <row r="17" spans="1:12">
      <c r="A17">
        <v>16</v>
      </c>
      <c r="B17">
        <v>75093</v>
      </c>
      <c r="C17">
        <v>77081</v>
      </c>
      <c r="D17">
        <v>79236</v>
      </c>
      <c r="E17">
        <v>81390</v>
      </c>
      <c r="G17">
        <v>16</v>
      </c>
      <c r="H17">
        <v>57758</v>
      </c>
      <c r="I17">
        <f t="shared" si="0"/>
        <v>-17335</v>
      </c>
      <c r="J17">
        <v>58281</v>
      </c>
      <c r="K17">
        <v>59299</v>
      </c>
      <c r="L17">
        <v>60299</v>
      </c>
    </row>
    <row r="18" spans="1:12">
      <c r="A18">
        <v>17</v>
      </c>
      <c r="B18">
        <v>76544</v>
      </c>
      <c r="C18">
        <v>78533</v>
      </c>
      <c r="D18">
        <v>80688</v>
      </c>
      <c r="E18">
        <v>82842</v>
      </c>
      <c r="G18">
        <v>17</v>
      </c>
      <c r="H18">
        <v>59308</v>
      </c>
      <c r="I18">
        <f t="shared" si="0"/>
        <v>-17236</v>
      </c>
      <c r="J18">
        <v>59831</v>
      </c>
      <c r="K18">
        <v>60849</v>
      </c>
      <c r="L18">
        <v>61849</v>
      </c>
    </row>
    <row r="19" spans="1:12">
      <c r="A19">
        <v>18</v>
      </c>
      <c r="B19">
        <v>77996</v>
      </c>
      <c r="C19">
        <v>79985</v>
      </c>
      <c r="D19">
        <v>82139</v>
      </c>
      <c r="E19">
        <v>84294</v>
      </c>
      <c r="G19">
        <v>18</v>
      </c>
      <c r="H19">
        <v>61908</v>
      </c>
      <c r="I19">
        <f t="shared" si="0"/>
        <v>-16088</v>
      </c>
      <c r="J19">
        <v>62431</v>
      </c>
      <c r="K19">
        <v>63449</v>
      </c>
      <c r="L19">
        <v>64449</v>
      </c>
    </row>
    <row r="20" spans="1:12">
      <c r="A20" s="2">
        <v>19</v>
      </c>
      <c r="B20" s="2">
        <v>77996</v>
      </c>
      <c r="C20" s="2">
        <v>79985</v>
      </c>
      <c r="D20" s="2">
        <v>82139</v>
      </c>
      <c r="E20" s="2">
        <v>84294</v>
      </c>
      <c r="G20">
        <v>19</v>
      </c>
      <c r="H20">
        <v>65958</v>
      </c>
      <c r="I20">
        <f t="shared" si="0"/>
        <v>-12038</v>
      </c>
      <c r="J20">
        <v>66481</v>
      </c>
      <c r="K20">
        <v>67499</v>
      </c>
      <c r="L20">
        <v>68499</v>
      </c>
    </row>
    <row r="21" spans="1:12">
      <c r="A21" s="2">
        <v>20</v>
      </c>
      <c r="B21" s="2">
        <v>77996</v>
      </c>
      <c r="C21" s="2">
        <v>79985</v>
      </c>
      <c r="D21" s="2">
        <v>82139</v>
      </c>
      <c r="E21" s="2">
        <v>84294</v>
      </c>
      <c r="G21">
        <v>20</v>
      </c>
      <c r="H21">
        <v>69533</v>
      </c>
      <c r="I21">
        <f t="shared" si="0"/>
        <v>-8463</v>
      </c>
      <c r="J21">
        <v>70056</v>
      </c>
      <c r="K21">
        <v>71074</v>
      </c>
      <c r="L21">
        <v>72074</v>
      </c>
    </row>
    <row r="22" spans="1:12">
      <c r="A22" s="2">
        <v>21</v>
      </c>
      <c r="B22" s="2">
        <v>77996</v>
      </c>
      <c r="C22" s="2">
        <v>79985</v>
      </c>
      <c r="D22" s="2">
        <v>82139</v>
      </c>
      <c r="E22" s="2">
        <v>84294</v>
      </c>
      <c r="G22">
        <v>21</v>
      </c>
      <c r="H22">
        <v>73574</v>
      </c>
      <c r="I22">
        <f t="shared" si="0"/>
        <v>-4422</v>
      </c>
      <c r="J22">
        <v>74846</v>
      </c>
      <c r="K22">
        <v>75615</v>
      </c>
      <c r="L22">
        <v>75715</v>
      </c>
    </row>
    <row r="25" spans="1:12">
      <c r="A25" t="s">
        <v>30</v>
      </c>
    </row>
    <row r="26" spans="1:12">
      <c r="A26" t="s">
        <v>14</v>
      </c>
    </row>
    <row r="28" spans="1:12">
      <c r="A28" t="s">
        <v>16</v>
      </c>
      <c r="B28">
        <v>185</v>
      </c>
    </row>
    <row r="29" spans="1:12">
      <c r="A29" t="s">
        <v>17</v>
      </c>
      <c r="B29" s="20">
        <v>450</v>
      </c>
    </row>
    <row r="30" spans="1:12">
      <c r="A30" t="s">
        <v>18</v>
      </c>
      <c r="B30">
        <f>B29/60</f>
        <v>7.5</v>
      </c>
    </row>
    <row r="31" spans="1:12">
      <c r="A31" t="s">
        <v>19</v>
      </c>
    </row>
    <row r="32" spans="1:12">
      <c r="A32" t="s">
        <v>20</v>
      </c>
      <c r="B32">
        <f>(B28*B30)+B31</f>
        <v>1387.5</v>
      </c>
    </row>
  </sheetData>
  <conditionalFormatting sqref="I3:I22">
    <cfRule type="cellIs" dxfId="7" priority="1" operator="lessThan">
      <formula>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020D-3218-4F17-B898-ECE71A1C0D2E}">
  <dimension ref="A1:AA33"/>
  <sheetViews>
    <sheetView workbookViewId="0">
      <selection activeCell="C16" sqref="C16"/>
    </sheetView>
  </sheetViews>
  <sheetFormatPr defaultRowHeight="15"/>
  <sheetData>
    <row r="1" spans="1:27">
      <c r="A1" t="s">
        <v>31</v>
      </c>
      <c r="B1" t="s">
        <v>29</v>
      </c>
      <c r="C1" t="s">
        <v>32</v>
      </c>
      <c r="D1" t="s">
        <v>33</v>
      </c>
      <c r="E1" t="s">
        <v>34</v>
      </c>
      <c r="F1" t="s">
        <v>35</v>
      </c>
      <c r="G1" t="s">
        <v>25</v>
      </c>
      <c r="H1" t="s">
        <v>36</v>
      </c>
      <c r="I1" t="s">
        <v>11</v>
      </c>
      <c r="J1" t="s">
        <v>37</v>
      </c>
      <c r="K1" t="s">
        <v>38</v>
      </c>
      <c r="L1" t="s">
        <v>39</v>
      </c>
      <c r="M1" t="s">
        <v>40</v>
      </c>
      <c r="N1" t="s">
        <v>27</v>
      </c>
      <c r="O1" t="s">
        <v>41</v>
      </c>
      <c r="P1" t="s">
        <v>42</v>
      </c>
      <c r="Q1" t="s">
        <v>43</v>
      </c>
      <c r="R1" t="s">
        <v>44</v>
      </c>
      <c r="S1" t="s">
        <v>45</v>
      </c>
      <c r="T1" t="s">
        <v>46</v>
      </c>
      <c r="V1" t="s">
        <v>7</v>
      </c>
      <c r="W1" t="s">
        <v>8</v>
      </c>
      <c r="Y1" t="s">
        <v>10</v>
      </c>
      <c r="Z1" t="s">
        <v>11</v>
      </c>
      <c r="AA1" t="s">
        <v>6</v>
      </c>
    </row>
    <row r="2" spans="1:27">
      <c r="A2">
        <v>14</v>
      </c>
      <c r="B2">
        <v>1</v>
      </c>
      <c r="C2">
        <v>57646</v>
      </c>
      <c r="D2">
        <v>58123</v>
      </c>
      <c r="E2">
        <v>58601</v>
      </c>
      <c r="F2">
        <v>59079</v>
      </c>
      <c r="G2">
        <v>59556</v>
      </c>
      <c r="H2">
        <v>60034</v>
      </c>
      <c r="I2">
        <v>61949</v>
      </c>
      <c r="J2">
        <v>62445</v>
      </c>
      <c r="K2">
        <v>62940</v>
      </c>
      <c r="L2">
        <v>63435</v>
      </c>
      <c r="M2">
        <v>64709</v>
      </c>
      <c r="N2">
        <v>65205</v>
      </c>
      <c r="O2">
        <v>65702</v>
      </c>
      <c r="P2">
        <v>66199</v>
      </c>
      <c r="Q2">
        <v>66695</v>
      </c>
      <c r="R2">
        <v>67192</v>
      </c>
      <c r="S2">
        <v>67689</v>
      </c>
      <c r="T2">
        <v>68185</v>
      </c>
      <c r="V2">
        <v>1</v>
      </c>
      <c r="W2">
        <v>0</v>
      </c>
      <c r="Y2">
        <v>0</v>
      </c>
      <c r="Z2">
        <v>0</v>
      </c>
      <c r="AA2">
        <v>0</v>
      </c>
    </row>
    <row r="3" spans="1:27">
      <c r="A3">
        <v>13</v>
      </c>
      <c r="B3">
        <v>2</v>
      </c>
      <c r="C3">
        <v>59039</v>
      </c>
      <c r="D3">
        <v>59516</v>
      </c>
      <c r="E3">
        <v>59994</v>
      </c>
      <c r="F3">
        <v>60472</v>
      </c>
      <c r="G3">
        <v>60949</v>
      </c>
      <c r="H3">
        <v>61427</v>
      </c>
      <c r="I3">
        <v>63529</v>
      </c>
      <c r="J3">
        <v>64025</v>
      </c>
      <c r="K3">
        <v>64520</v>
      </c>
      <c r="L3">
        <v>65015</v>
      </c>
      <c r="M3">
        <v>66289</v>
      </c>
      <c r="N3">
        <v>66785</v>
      </c>
      <c r="O3">
        <v>67282</v>
      </c>
      <c r="P3">
        <v>67779</v>
      </c>
      <c r="Q3">
        <v>68275</v>
      </c>
      <c r="R3">
        <v>68772</v>
      </c>
      <c r="S3">
        <v>69269</v>
      </c>
      <c r="T3">
        <v>69765</v>
      </c>
      <c r="V3">
        <v>2</v>
      </c>
      <c r="W3">
        <v>45208</v>
      </c>
      <c r="X3">
        <f>W3-C3</f>
        <v>-13831</v>
      </c>
      <c r="Y3">
        <v>45731</v>
      </c>
      <c r="Z3">
        <v>46749</v>
      </c>
      <c r="AA3">
        <v>47749</v>
      </c>
    </row>
    <row r="4" spans="1:27">
      <c r="A4">
        <v>12</v>
      </c>
      <c r="B4">
        <v>3</v>
      </c>
      <c r="C4">
        <v>60432</v>
      </c>
      <c r="D4">
        <v>60909</v>
      </c>
      <c r="E4">
        <v>61387</v>
      </c>
      <c r="F4">
        <v>61865</v>
      </c>
      <c r="G4">
        <v>62342</v>
      </c>
      <c r="H4">
        <v>62820</v>
      </c>
      <c r="I4">
        <v>65109</v>
      </c>
      <c r="J4">
        <v>65605</v>
      </c>
      <c r="K4">
        <v>66100</v>
      </c>
      <c r="L4">
        <v>66595</v>
      </c>
      <c r="M4">
        <v>67869</v>
      </c>
      <c r="N4">
        <v>68365</v>
      </c>
      <c r="O4">
        <v>68862</v>
      </c>
      <c r="P4">
        <v>69359</v>
      </c>
      <c r="Q4">
        <v>69855</v>
      </c>
      <c r="R4">
        <v>70352</v>
      </c>
      <c r="S4">
        <v>70849</v>
      </c>
      <c r="T4">
        <v>71345</v>
      </c>
      <c r="V4">
        <v>3</v>
      </c>
      <c r="W4">
        <v>45808</v>
      </c>
      <c r="X4">
        <f t="shared" ref="X4:X22" si="0">W4-C4</f>
        <v>-14624</v>
      </c>
      <c r="Y4">
        <v>46331</v>
      </c>
      <c r="Z4">
        <v>47349</v>
      </c>
      <c r="AA4">
        <v>48349</v>
      </c>
    </row>
    <row r="5" spans="1:27">
      <c r="A5">
        <v>11</v>
      </c>
      <c r="B5">
        <v>4</v>
      </c>
      <c r="C5">
        <v>61825</v>
      </c>
      <c r="D5">
        <v>62302</v>
      </c>
      <c r="E5">
        <v>62780</v>
      </c>
      <c r="F5">
        <v>63258</v>
      </c>
      <c r="G5">
        <v>63735</v>
      </c>
      <c r="H5">
        <v>64213</v>
      </c>
      <c r="I5">
        <v>66689</v>
      </c>
      <c r="J5">
        <v>67185</v>
      </c>
      <c r="K5">
        <v>67680</v>
      </c>
      <c r="L5">
        <v>68175</v>
      </c>
      <c r="M5">
        <v>69449</v>
      </c>
      <c r="N5">
        <v>69945</v>
      </c>
      <c r="O5">
        <v>70442</v>
      </c>
      <c r="P5">
        <v>70939</v>
      </c>
      <c r="Q5">
        <v>71435</v>
      </c>
      <c r="R5">
        <v>71932</v>
      </c>
      <c r="S5">
        <v>72429</v>
      </c>
      <c r="T5">
        <v>72925</v>
      </c>
      <c r="V5">
        <v>4</v>
      </c>
      <c r="W5">
        <v>46408</v>
      </c>
      <c r="X5">
        <f t="shared" si="0"/>
        <v>-15417</v>
      </c>
      <c r="Y5">
        <v>46931</v>
      </c>
      <c r="Z5">
        <v>47949</v>
      </c>
      <c r="AA5">
        <v>48949</v>
      </c>
    </row>
    <row r="6" spans="1:27">
      <c r="A6">
        <v>10</v>
      </c>
      <c r="B6">
        <v>5</v>
      </c>
      <c r="C6">
        <v>63218</v>
      </c>
      <c r="D6">
        <v>63695</v>
      </c>
      <c r="E6">
        <v>64173</v>
      </c>
      <c r="F6">
        <v>64651</v>
      </c>
      <c r="G6">
        <v>65128</v>
      </c>
      <c r="H6">
        <v>65606</v>
      </c>
      <c r="I6">
        <v>68269</v>
      </c>
      <c r="J6">
        <v>68765</v>
      </c>
      <c r="K6">
        <v>69260</v>
      </c>
      <c r="L6">
        <v>69755</v>
      </c>
      <c r="M6">
        <v>71029</v>
      </c>
      <c r="N6">
        <v>71525</v>
      </c>
      <c r="O6">
        <v>72022</v>
      </c>
      <c r="P6">
        <v>72519</v>
      </c>
      <c r="Q6">
        <v>73015</v>
      </c>
      <c r="R6">
        <v>73512</v>
      </c>
      <c r="S6">
        <v>74009</v>
      </c>
      <c r="T6">
        <v>74505</v>
      </c>
      <c r="V6">
        <v>5</v>
      </c>
      <c r="W6">
        <v>47408</v>
      </c>
      <c r="X6">
        <f t="shared" si="0"/>
        <v>-15810</v>
      </c>
      <c r="Y6">
        <v>47931</v>
      </c>
      <c r="Z6">
        <v>48949</v>
      </c>
      <c r="AA6">
        <v>49949</v>
      </c>
    </row>
    <row r="7" spans="1:27">
      <c r="A7">
        <v>9</v>
      </c>
      <c r="B7">
        <v>6</v>
      </c>
      <c r="C7">
        <v>64611</v>
      </c>
      <c r="D7">
        <v>65088</v>
      </c>
      <c r="E7">
        <v>65566</v>
      </c>
      <c r="F7">
        <v>66044</v>
      </c>
      <c r="G7">
        <v>66521</v>
      </c>
      <c r="H7">
        <v>66999</v>
      </c>
      <c r="I7">
        <v>69849</v>
      </c>
      <c r="J7">
        <v>70345</v>
      </c>
      <c r="K7">
        <v>70840</v>
      </c>
      <c r="L7">
        <v>71335</v>
      </c>
      <c r="M7">
        <v>72609</v>
      </c>
      <c r="N7">
        <v>73105</v>
      </c>
      <c r="O7">
        <v>73602</v>
      </c>
      <c r="P7">
        <v>74099</v>
      </c>
      <c r="Q7">
        <v>74595</v>
      </c>
      <c r="R7">
        <v>75092</v>
      </c>
      <c r="S7">
        <v>75589</v>
      </c>
      <c r="T7">
        <v>76085</v>
      </c>
      <c r="V7">
        <v>6</v>
      </c>
      <c r="W7">
        <v>48408</v>
      </c>
      <c r="X7">
        <f t="shared" si="0"/>
        <v>-16203</v>
      </c>
      <c r="Y7">
        <v>48931</v>
      </c>
      <c r="Z7">
        <v>49949</v>
      </c>
      <c r="AA7">
        <v>50949</v>
      </c>
    </row>
    <row r="8" spans="1:27">
      <c r="A8">
        <v>8</v>
      </c>
      <c r="B8">
        <v>7</v>
      </c>
      <c r="C8">
        <v>66004</v>
      </c>
      <c r="D8">
        <v>66481</v>
      </c>
      <c r="E8">
        <v>66959</v>
      </c>
      <c r="F8">
        <v>67437</v>
      </c>
      <c r="G8">
        <v>67914</v>
      </c>
      <c r="H8">
        <v>68392</v>
      </c>
      <c r="I8">
        <v>71429</v>
      </c>
      <c r="J8">
        <v>71925</v>
      </c>
      <c r="K8">
        <v>72420</v>
      </c>
      <c r="L8">
        <v>72915</v>
      </c>
      <c r="M8">
        <v>74189</v>
      </c>
      <c r="N8">
        <v>74685</v>
      </c>
      <c r="O8">
        <v>75182</v>
      </c>
      <c r="P8">
        <v>75679</v>
      </c>
      <c r="Q8">
        <v>76175</v>
      </c>
      <c r="R8">
        <v>76672</v>
      </c>
      <c r="S8">
        <v>77169</v>
      </c>
      <c r="T8">
        <v>77665</v>
      </c>
      <c r="V8">
        <v>7</v>
      </c>
      <c r="W8">
        <v>49458</v>
      </c>
      <c r="X8">
        <f t="shared" si="0"/>
        <v>-16546</v>
      </c>
      <c r="Y8">
        <v>49981</v>
      </c>
      <c r="Z8">
        <v>50999</v>
      </c>
      <c r="AA8">
        <v>51999</v>
      </c>
    </row>
    <row r="9" spans="1:27">
      <c r="A9">
        <v>7</v>
      </c>
      <c r="B9">
        <v>8</v>
      </c>
      <c r="C9">
        <v>67397</v>
      </c>
      <c r="D9">
        <v>67874</v>
      </c>
      <c r="E9">
        <v>68352</v>
      </c>
      <c r="F9">
        <v>68830</v>
      </c>
      <c r="G9">
        <v>69307</v>
      </c>
      <c r="H9">
        <v>69785</v>
      </c>
      <c r="I9">
        <v>73009</v>
      </c>
      <c r="J9">
        <v>73505</v>
      </c>
      <c r="K9">
        <v>74000</v>
      </c>
      <c r="L9">
        <v>74495</v>
      </c>
      <c r="M9">
        <v>75769</v>
      </c>
      <c r="N9">
        <v>76265</v>
      </c>
      <c r="O9">
        <v>76762</v>
      </c>
      <c r="P9">
        <v>77259</v>
      </c>
      <c r="Q9">
        <v>77755</v>
      </c>
      <c r="R9">
        <v>78252</v>
      </c>
      <c r="S9">
        <v>78749</v>
      </c>
      <c r="T9">
        <v>79245</v>
      </c>
      <c r="V9">
        <v>8</v>
      </c>
      <c r="W9">
        <v>50358</v>
      </c>
      <c r="X9">
        <f t="shared" si="0"/>
        <v>-17039</v>
      </c>
      <c r="Y9">
        <v>50881</v>
      </c>
      <c r="Z9">
        <v>51899</v>
      </c>
      <c r="AA9">
        <v>52899</v>
      </c>
    </row>
    <row r="10" spans="1:27">
      <c r="A10">
        <v>6</v>
      </c>
      <c r="B10">
        <v>9</v>
      </c>
      <c r="C10">
        <v>68790</v>
      </c>
      <c r="D10">
        <v>69267</v>
      </c>
      <c r="E10">
        <v>69745</v>
      </c>
      <c r="F10">
        <v>70223</v>
      </c>
      <c r="G10">
        <v>70700</v>
      </c>
      <c r="H10">
        <v>71178</v>
      </c>
      <c r="I10">
        <v>74589</v>
      </c>
      <c r="J10">
        <v>75085</v>
      </c>
      <c r="K10">
        <v>75580</v>
      </c>
      <c r="L10">
        <v>76075</v>
      </c>
      <c r="M10">
        <v>77349</v>
      </c>
      <c r="N10">
        <v>77845</v>
      </c>
      <c r="O10">
        <v>78342</v>
      </c>
      <c r="P10">
        <v>78839</v>
      </c>
      <c r="Q10">
        <v>79335</v>
      </c>
      <c r="R10">
        <v>79832</v>
      </c>
      <c r="S10">
        <v>80329</v>
      </c>
      <c r="T10">
        <v>80825</v>
      </c>
      <c r="V10">
        <v>9</v>
      </c>
      <c r="W10">
        <v>51158</v>
      </c>
      <c r="X10">
        <f t="shared" si="0"/>
        <v>-17632</v>
      </c>
      <c r="Y10">
        <v>51681</v>
      </c>
      <c r="Z10">
        <v>52699</v>
      </c>
      <c r="AA10">
        <v>53699</v>
      </c>
    </row>
    <row r="11" spans="1:27">
      <c r="A11">
        <v>5</v>
      </c>
      <c r="B11">
        <v>10</v>
      </c>
      <c r="C11">
        <v>70183</v>
      </c>
      <c r="D11">
        <v>70660</v>
      </c>
      <c r="E11">
        <v>71138</v>
      </c>
      <c r="F11">
        <v>71616</v>
      </c>
      <c r="G11">
        <v>72093</v>
      </c>
      <c r="H11">
        <v>72571</v>
      </c>
      <c r="I11">
        <v>76169</v>
      </c>
      <c r="J11">
        <v>76665</v>
      </c>
      <c r="K11">
        <v>77160</v>
      </c>
      <c r="L11">
        <v>77655</v>
      </c>
      <c r="M11">
        <v>78929</v>
      </c>
      <c r="N11">
        <v>79425</v>
      </c>
      <c r="O11">
        <v>79922</v>
      </c>
      <c r="P11">
        <v>80419</v>
      </c>
      <c r="Q11">
        <v>80915</v>
      </c>
      <c r="R11">
        <v>81412</v>
      </c>
      <c r="S11">
        <v>81909</v>
      </c>
      <c r="T11">
        <v>82405</v>
      </c>
      <c r="V11">
        <v>10</v>
      </c>
      <c r="W11">
        <v>52008</v>
      </c>
      <c r="X11">
        <f t="shared" si="0"/>
        <v>-18175</v>
      </c>
      <c r="Y11">
        <v>52531</v>
      </c>
      <c r="Z11">
        <v>53549</v>
      </c>
      <c r="AA11">
        <v>54549</v>
      </c>
    </row>
    <row r="12" spans="1:27">
      <c r="A12">
        <v>4</v>
      </c>
      <c r="B12">
        <v>11</v>
      </c>
      <c r="C12">
        <v>71576</v>
      </c>
      <c r="D12">
        <v>72053</v>
      </c>
      <c r="E12">
        <v>72531</v>
      </c>
      <c r="F12">
        <v>73009</v>
      </c>
      <c r="G12">
        <v>73486</v>
      </c>
      <c r="H12">
        <v>73964</v>
      </c>
      <c r="I12">
        <v>77749</v>
      </c>
      <c r="J12">
        <v>78245</v>
      </c>
      <c r="K12">
        <v>78740</v>
      </c>
      <c r="L12">
        <v>79235</v>
      </c>
      <c r="M12">
        <v>80509</v>
      </c>
      <c r="N12">
        <v>81005</v>
      </c>
      <c r="O12">
        <v>81502</v>
      </c>
      <c r="P12">
        <v>81999</v>
      </c>
      <c r="Q12">
        <v>82495</v>
      </c>
      <c r="R12">
        <v>82992</v>
      </c>
      <c r="S12">
        <v>83489</v>
      </c>
      <c r="T12">
        <v>83985</v>
      </c>
      <c r="V12">
        <v>11</v>
      </c>
      <c r="W12">
        <v>52758</v>
      </c>
      <c r="X12">
        <f t="shared" si="0"/>
        <v>-18818</v>
      </c>
      <c r="Y12">
        <v>53281</v>
      </c>
      <c r="Z12">
        <v>54299</v>
      </c>
      <c r="AA12">
        <v>55299</v>
      </c>
    </row>
    <row r="13" spans="1:27">
      <c r="A13">
        <v>3</v>
      </c>
      <c r="B13">
        <v>12</v>
      </c>
      <c r="C13">
        <v>72969</v>
      </c>
      <c r="D13">
        <v>73446</v>
      </c>
      <c r="E13">
        <v>73924</v>
      </c>
      <c r="F13">
        <v>74402</v>
      </c>
      <c r="G13">
        <v>74879</v>
      </c>
      <c r="H13">
        <v>75357</v>
      </c>
      <c r="I13">
        <v>79329</v>
      </c>
      <c r="J13">
        <v>79825</v>
      </c>
      <c r="K13">
        <v>80320</v>
      </c>
      <c r="L13">
        <v>80815</v>
      </c>
      <c r="M13">
        <v>82089</v>
      </c>
      <c r="N13">
        <v>82585</v>
      </c>
      <c r="O13">
        <v>83082</v>
      </c>
      <c r="P13">
        <v>83579</v>
      </c>
      <c r="Q13">
        <v>84075</v>
      </c>
      <c r="R13">
        <v>84572</v>
      </c>
      <c r="S13">
        <v>85069</v>
      </c>
      <c r="T13">
        <v>85565</v>
      </c>
      <c r="V13">
        <v>12</v>
      </c>
      <c r="W13">
        <v>53408</v>
      </c>
      <c r="X13">
        <f t="shared" si="0"/>
        <v>-19561</v>
      </c>
      <c r="Y13">
        <v>53931</v>
      </c>
      <c r="Z13">
        <v>54949</v>
      </c>
      <c r="AA13">
        <v>55949</v>
      </c>
    </row>
    <row r="14" spans="1:27">
      <c r="A14">
        <v>2</v>
      </c>
      <c r="B14">
        <v>13</v>
      </c>
      <c r="C14">
        <v>74362</v>
      </c>
      <c r="D14">
        <v>74839</v>
      </c>
      <c r="E14">
        <v>75317</v>
      </c>
      <c r="F14">
        <v>75795</v>
      </c>
      <c r="G14">
        <v>76272</v>
      </c>
      <c r="H14">
        <v>76750</v>
      </c>
      <c r="I14">
        <v>80909</v>
      </c>
      <c r="J14">
        <v>81405</v>
      </c>
      <c r="K14">
        <v>81900</v>
      </c>
      <c r="L14">
        <v>82395</v>
      </c>
      <c r="M14">
        <v>83669</v>
      </c>
      <c r="N14">
        <v>84165</v>
      </c>
      <c r="O14">
        <v>84662</v>
      </c>
      <c r="P14">
        <v>85159</v>
      </c>
      <c r="Q14">
        <v>85655</v>
      </c>
      <c r="R14">
        <v>86152</v>
      </c>
      <c r="S14">
        <v>86649</v>
      </c>
      <c r="T14">
        <v>87145</v>
      </c>
      <c r="V14">
        <v>13</v>
      </c>
      <c r="W14">
        <v>54158</v>
      </c>
      <c r="X14">
        <f t="shared" si="0"/>
        <v>-20204</v>
      </c>
      <c r="Y14">
        <v>54681</v>
      </c>
      <c r="Z14">
        <v>55699</v>
      </c>
      <c r="AA14">
        <v>56699</v>
      </c>
    </row>
    <row r="15" spans="1:27">
      <c r="A15">
        <v>1</v>
      </c>
      <c r="B15">
        <v>14</v>
      </c>
      <c r="C15">
        <v>75755</v>
      </c>
      <c r="D15">
        <v>76232</v>
      </c>
      <c r="E15">
        <v>76710</v>
      </c>
      <c r="F15">
        <v>77188</v>
      </c>
      <c r="G15">
        <v>77665</v>
      </c>
      <c r="H15">
        <v>78143</v>
      </c>
      <c r="I15">
        <v>82489</v>
      </c>
      <c r="J15">
        <v>82985</v>
      </c>
      <c r="K15">
        <v>83480</v>
      </c>
      <c r="L15">
        <v>83975</v>
      </c>
      <c r="M15">
        <v>85249</v>
      </c>
      <c r="N15">
        <v>85745</v>
      </c>
      <c r="O15">
        <v>86242</v>
      </c>
      <c r="P15">
        <v>86739</v>
      </c>
      <c r="Q15">
        <v>87235</v>
      </c>
      <c r="R15">
        <v>87732</v>
      </c>
      <c r="S15">
        <v>88229</v>
      </c>
      <c r="T15">
        <v>88725</v>
      </c>
      <c r="V15">
        <v>14</v>
      </c>
      <c r="W15">
        <v>55158</v>
      </c>
      <c r="X15">
        <f t="shared" si="0"/>
        <v>-20597</v>
      </c>
      <c r="Y15">
        <v>55681</v>
      </c>
      <c r="Z15">
        <v>56699</v>
      </c>
      <c r="AA15">
        <v>57699</v>
      </c>
    </row>
    <row r="16" spans="1:27">
      <c r="A16" t="s">
        <v>47</v>
      </c>
      <c r="B16">
        <v>15</v>
      </c>
      <c r="C16">
        <v>77148</v>
      </c>
      <c r="D16">
        <v>77625</v>
      </c>
      <c r="E16">
        <v>78103</v>
      </c>
      <c r="F16">
        <v>78581</v>
      </c>
      <c r="G16">
        <v>79058</v>
      </c>
      <c r="H16">
        <v>79536</v>
      </c>
      <c r="I16">
        <v>84069</v>
      </c>
      <c r="J16">
        <v>84565</v>
      </c>
      <c r="K16">
        <v>85060</v>
      </c>
      <c r="L16">
        <v>85555</v>
      </c>
      <c r="M16">
        <v>86829</v>
      </c>
      <c r="N16">
        <v>87325</v>
      </c>
      <c r="O16">
        <v>87822</v>
      </c>
      <c r="P16">
        <v>88319</v>
      </c>
      <c r="Q16">
        <v>88815</v>
      </c>
      <c r="R16">
        <v>89312</v>
      </c>
      <c r="S16">
        <v>89809</v>
      </c>
      <c r="T16">
        <v>90305</v>
      </c>
      <c r="V16">
        <v>15</v>
      </c>
      <c r="W16">
        <v>56458</v>
      </c>
      <c r="X16">
        <f t="shared" si="0"/>
        <v>-20690</v>
      </c>
      <c r="Y16">
        <v>56981</v>
      </c>
      <c r="Z16">
        <v>57999</v>
      </c>
      <c r="AA16">
        <v>58999</v>
      </c>
    </row>
    <row r="17" spans="1:27">
      <c r="A17" s="2" t="s">
        <v>47</v>
      </c>
      <c r="B17" s="2">
        <v>16</v>
      </c>
      <c r="C17" s="2">
        <v>77148</v>
      </c>
      <c r="D17" s="2">
        <v>77625</v>
      </c>
      <c r="E17" s="2">
        <v>78103</v>
      </c>
      <c r="F17" s="2">
        <v>78581</v>
      </c>
      <c r="G17" s="2">
        <v>79058</v>
      </c>
      <c r="H17" s="2">
        <v>79536</v>
      </c>
      <c r="I17" s="2">
        <v>84069</v>
      </c>
      <c r="J17" s="2">
        <v>84565</v>
      </c>
      <c r="K17" s="2">
        <v>85060</v>
      </c>
      <c r="L17" s="2">
        <v>85555</v>
      </c>
      <c r="M17" s="2">
        <v>86829</v>
      </c>
      <c r="N17" s="2">
        <v>87325</v>
      </c>
      <c r="O17" s="2">
        <v>87822</v>
      </c>
      <c r="P17" s="2">
        <v>88319</v>
      </c>
      <c r="Q17" s="2">
        <v>88815</v>
      </c>
      <c r="R17" s="2">
        <v>89312</v>
      </c>
      <c r="S17" s="2">
        <v>89809</v>
      </c>
      <c r="T17" s="2">
        <v>90305</v>
      </c>
      <c r="V17">
        <v>16</v>
      </c>
      <c r="W17">
        <v>57758</v>
      </c>
      <c r="X17">
        <f t="shared" si="0"/>
        <v>-19390</v>
      </c>
      <c r="Y17">
        <v>58281</v>
      </c>
      <c r="Z17">
        <v>59299</v>
      </c>
      <c r="AA17">
        <v>60299</v>
      </c>
    </row>
    <row r="18" spans="1:27">
      <c r="A18" s="2" t="s">
        <v>47</v>
      </c>
      <c r="B18" s="2">
        <v>17</v>
      </c>
      <c r="C18" s="2">
        <v>77148</v>
      </c>
      <c r="D18" s="2">
        <v>77625</v>
      </c>
      <c r="E18" s="2">
        <v>78103</v>
      </c>
      <c r="F18" s="2">
        <v>78581</v>
      </c>
      <c r="G18" s="2">
        <v>79058</v>
      </c>
      <c r="H18" s="2">
        <v>79536</v>
      </c>
      <c r="I18" s="2">
        <v>84069</v>
      </c>
      <c r="J18" s="2">
        <v>84565</v>
      </c>
      <c r="K18" s="2">
        <v>85060</v>
      </c>
      <c r="L18" s="2">
        <v>85555</v>
      </c>
      <c r="M18" s="2">
        <v>86829</v>
      </c>
      <c r="N18" s="2">
        <v>87325</v>
      </c>
      <c r="O18" s="2">
        <v>87822</v>
      </c>
      <c r="P18" s="2">
        <v>88319</v>
      </c>
      <c r="Q18" s="2">
        <v>88815</v>
      </c>
      <c r="R18" s="2">
        <v>89312</v>
      </c>
      <c r="S18" s="2">
        <v>89809</v>
      </c>
      <c r="T18" s="2">
        <v>90305</v>
      </c>
      <c r="V18">
        <v>17</v>
      </c>
      <c r="W18">
        <v>59308</v>
      </c>
      <c r="X18">
        <f t="shared" si="0"/>
        <v>-17840</v>
      </c>
      <c r="Y18">
        <v>59831</v>
      </c>
      <c r="Z18">
        <v>60849</v>
      </c>
      <c r="AA18">
        <v>61849</v>
      </c>
    </row>
    <row r="19" spans="1:27">
      <c r="A19" s="2" t="s">
        <v>47</v>
      </c>
      <c r="B19" s="2">
        <v>18</v>
      </c>
      <c r="C19" s="2">
        <v>77148</v>
      </c>
      <c r="D19" s="2">
        <v>77625</v>
      </c>
      <c r="E19" s="2">
        <v>78103</v>
      </c>
      <c r="F19" s="2">
        <v>78581</v>
      </c>
      <c r="G19" s="2">
        <v>79058</v>
      </c>
      <c r="H19" s="2">
        <v>79536</v>
      </c>
      <c r="I19" s="2">
        <v>84069</v>
      </c>
      <c r="J19" s="2">
        <v>84565</v>
      </c>
      <c r="K19" s="2">
        <v>85060</v>
      </c>
      <c r="L19" s="2">
        <v>85555</v>
      </c>
      <c r="M19" s="2">
        <v>86829</v>
      </c>
      <c r="N19" s="2">
        <v>87325</v>
      </c>
      <c r="O19" s="2">
        <v>87822</v>
      </c>
      <c r="P19" s="2">
        <v>88319</v>
      </c>
      <c r="Q19" s="2">
        <v>88815</v>
      </c>
      <c r="R19" s="2">
        <v>89312</v>
      </c>
      <c r="S19" s="2">
        <v>89809</v>
      </c>
      <c r="T19" s="2">
        <v>90305</v>
      </c>
      <c r="V19">
        <v>18</v>
      </c>
      <c r="W19">
        <v>61908</v>
      </c>
      <c r="X19">
        <f t="shared" si="0"/>
        <v>-15240</v>
      </c>
      <c r="Y19">
        <v>62431</v>
      </c>
      <c r="Z19">
        <v>63449</v>
      </c>
      <c r="AA19">
        <v>64449</v>
      </c>
    </row>
    <row r="20" spans="1:27">
      <c r="A20" s="2" t="s">
        <v>47</v>
      </c>
      <c r="B20" s="2">
        <v>19</v>
      </c>
      <c r="C20" s="2">
        <v>77148</v>
      </c>
      <c r="D20" s="2">
        <v>77625</v>
      </c>
      <c r="E20" s="2">
        <v>78103</v>
      </c>
      <c r="F20" s="2">
        <v>78581</v>
      </c>
      <c r="G20" s="2">
        <v>79058</v>
      </c>
      <c r="H20" s="2">
        <v>79536</v>
      </c>
      <c r="I20" s="2">
        <v>84069</v>
      </c>
      <c r="J20" s="2">
        <v>84565</v>
      </c>
      <c r="K20" s="2">
        <v>85060</v>
      </c>
      <c r="L20" s="2">
        <v>85555</v>
      </c>
      <c r="M20" s="2">
        <v>86829</v>
      </c>
      <c r="N20" s="2">
        <v>87325</v>
      </c>
      <c r="O20" s="2">
        <v>87822</v>
      </c>
      <c r="P20" s="2">
        <v>88319</v>
      </c>
      <c r="Q20" s="2">
        <v>88815</v>
      </c>
      <c r="R20" s="2">
        <v>89312</v>
      </c>
      <c r="S20" s="2">
        <v>89809</v>
      </c>
      <c r="T20" s="2">
        <v>90305</v>
      </c>
      <c r="V20">
        <v>19</v>
      </c>
      <c r="W20">
        <v>65958</v>
      </c>
      <c r="X20">
        <f t="shared" si="0"/>
        <v>-11190</v>
      </c>
      <c r="Y20">
        <v>66481</v>
      </c>
      <c r="Z20">
        <v>67499</v>
      </c>
      <c r="AA20">
        <v>68499</v>
      </c>
    </row>
    <row r="21" spans="1:27">
      <c r="A21" s="2" t="s">
        <v>47</v>
      </c>
      <c r="B21" s="2">
        <v>20</v>
      </c>
      <c r="C21" s="2">
        <v>77148</v>
      </c>
      <c r="D21" s="2">
        <v>77625</v>
      </c>
      <c r="E21" s="2">
        <v>78103</v>
      </c>
      <c r="F21" s="2">
        <v>78581</v>
      </c>
      <c r="G21" s="2">
        <v>79058</v>
      </c>
      <c r="H21" s="2">
        <v>79536</v>
      </c>
      <c r="I21" s="2">
        <v>84069</v>
      </c>
      <c r="J21" s="2">
        <v>84565</v>
      </c>
      <c r="K21" s="2">
        <v>85060</v>
      </c>
      <c r="L21" s="2">
        <v>85555</v>
      </c>
      <c r="M21" s="2">
        <v>86829</v>
      </c>
      <c r="N21" s="2">
        <v>87325</v>
      </c>
      <c r="O21" s="2">
        <v>87822</v>
      </c>
      <c r="P21" s="2">
        <v>88319</v>
      </c>
      <c r="Q21" s="2">
        <v>88815</v>
      </c>
      <c r="R21" s="2">
        <v>89312</v>
      </c>
      <c r="S21" s="2">
        <v>89809</v>
      </c>
      <c r="T21" s="2">
        <v>90305</v>
      </c>
      <c r="V21">
        <v>20</v>
      </c>
      <c r="W21">
        <v>69533</v>
      </c>
      <c r="X21">
        <f t="shared" si="0"/>
        <v>-7615</v>
      </c>
      <c r="Y21">
        <v>70056</v>
      </c>
      <c r="Z21">
        <v>71074</v>
      </c>
      <c r="AA21">
        <v>72074</v>
      </c>
    </row>
    <row r="22" spans="1:27">
      <c r="A22" s="2" t="s">
        <v>47</v>
      </c>
      <c r="B22" s="2">
        <v>21</v>
      </c>
      <c r="C22" s="2">
        <v>77148</v>
      </c>
      <c r="D22" s="2">
        <v>77625</v>
      </c>
      <c r="E22" s="2">
        <v>78103</v>
      </c>
      <c r="F22" s="2">
        <v>78581</v>
      </c>
      <c r="G22" s="2">
        <v>79058</v>
      </c>
      <c r="H22" s="2">
        <v>79536</v>
      </c>
      <c r="I22" s="2">
        <v>84069</v>
      </c>
      <c r="J22" s="2">
        <v>84565</v>
      </c>
      <c r="K22" s="2">
        <v>85060</v>
      </c>
      <c r="L22" s="2">
        <v>85555</v>
      </c>
      <c r="M22" s="2">
        <v>86829</v>
      </c>
      <c r="N22" s="2">
        <v>87325</v>
      </c>
      <c r="O22" s="2">
        <v>87822</v>
      </c>
      <c r="P22" s="2">
        <v>88319</v>
      </c>
      <c r="Q22" s="2">
        <v>88815</v>
      </c>
      <c r="R22" s="2">
        <v>89312</v>
      </c>
      <c r="S22" s="2">
        <v>89809</v>
      </c>
      <c r="T22" s="2">
        <v>90305</v>
      </c>
      <c r="V22">
        <v>21</v>
      </c>
      <c r="W22">
        <v>73574</v>
      </c>
      <c r="X22">
        <f t="shared" si="0"/>
        <v>-3574</v>
      </c>
      <c r="Y22">
        <v>74846</v>
      </c>
      <c r="Z22">
        <v>75615</v>
      </c>
      <c r="AA22">
        <v>75715</v>
      </c>
    </row>
    <row r="24" spans="1:27">
      <c r="A24" t="s">
        <v>48</v>
      </c>
    </row>
    <row r="25" spans="1:27">
      <c r="A25" t="s">
        <v>49</v>
      </c>
    </row>
    <row r="26" spans="1:27">
      <c r="A26" t="s">
        <v>50</v>
      </c>
    </row>
    <row r="27" spans="1:27">
      <c r="A27" t="s">
        <v>14</v>
      </c>
    </row>
    <row r="29" spans="1:27">
      <c r="A29" t="s">
        <v>16</v>
      </c>
      <c r="B29">
        <v>185</v>
      </c>
    </row>
    <row r="30" spans="1:27">
      <c r="A30" t="s">
        <v>17</v>
      </c>
      <c r="B30">
        <v>430</v>
      </c>
    </row>
    <row r="31" spans="1:27">
      <c r="A31" t="s">
        <v>18</v>
      </c>
      <c r="B31">
        <f>B30/60</f>
        <v>7.166666666666667</v>
      </c>
    </row>
    <row r="32" spans="1:27">
      <c r="A32" t="s">
        <v>19</v>
      </c>
    </row>
    <row r="33" spans="1:2">
      <c r="A33" t="s">
        <v>20</v>
      </c>
      <c r="B33">
        <f>(B29*B31)+B32</f>
        <v>1325.8333333333335</v>
      </c>
    </row>
  </sheetData>
  <conditionalFormatting sqref="X3:X22">
    <cfRule type="cellIs" dxfId="6" priority="1" operator="less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9343-52BF-4D94-9B1B-7E5434DFC3B5}">
  <dimension ref="A1:M21"/>
  <sheetViews>
    <sheetView tabSelected="1" workbookViewId="0">
      <selection activeCell="C25" sqref="C25"/>
    </sheetView>
  </sheetViews>
  <sheetFormatPr defaultRowHeight="15"/>
  <sheetData>
    <row r="1" spans="1:13">
      <c r="A1" t="s">
        <v>51</v>
      </c>
      <c r="B1" t="s">
        <v>7</v>
      </c>
      <c r="C1" t="s">
        <v>3</v>
      </c>
      <c r="D1" t="s">
        <v>5</v>
      </c>
      <c r="E1" t="s">
        <v>37</v>
      </c>
      <c r="F1" t="s">
        <v>38</v>
      </c>
      <c r="G1" t="s">
        <v>39</v>
      </c>
      <c r="H1" t="s">
        <v>40</v>
      </c>
      <c r="I1" t="s">
        <v>27</v>
      </c>
      <c r="J1" t="s">
        <v>41</v>
      </c>
      <c r="K1" t="s">
        <v>42</v>
      </c>
      <c r="L1" t="s">
        <v>43</v>
      </c>
      <c r="M1" t="s">
        <v>52</v>
      </c>
    </row>
    <row r="2" spans="1:13">
      <c r="A2">
        <v>5</v>
      </c>
      <c r="B2">
        <v>1</v>
      </c>
      <c r="C2">
        <v>55632</v>
      </c>
      <c r="D2">
        <v>56732</v>
      </c>
      <c r="E2">
        <v>57132</v>
      </c>
      <c r="F2">
        <v>57532</v>
      </c>
      <c r="G2">
        <v>57932</v>
      </c>
      <c r="H2">
        <v>58332</v>
      </c>
      <c r="I2">
        <v>58732</v>
      </c>
      <c r="J2">
        <v>59132</v>
      </c>
      <c r="K2">
        <v>59532</v>
      </c>
      <c r="L2">
        <v>59932</v>
      </c>
      <c r="M2">
        <v>60332</v>
      </c>
    </row>
    <row r="3" spans="1:13">
      <c r="A3">
        <v>6</v>
      </c>
      <c r="B3">
        <v>2</v>
      </c>
      <c r="C3">
        <v>56632</v>
      </c>
      <c r="D3">
        <v>57732</v>
      </c>
      <c r="E3">
        <v>58132</v>
      </c>
      <c r="F3">
        <v>58532</v>
      </c>
      <c r="G3">
        <v>58932</v>
      </c>
      <c r="H3">
        <v>59332</v>
      </c>
      <c r="I3">
        <v>59732</v>
      </c>
      <c r="J3">
        <v>60132</v>
      </c>
      <c r="K3">
        <v>60532</v>
      </c>
      <c r="L3">
        <v>60932</v>
      </c>
      <c r="M3">
        <v>61332</v>
      </c>
    </row>
    <row r="4" spans="1:13">
      <c r="A4">
        <v>7</v>
      </c>
      <c r="B4">
        <v>3</v>
      </c>
      <c r="C4">
        <v>57632</v>
      </c>
      <c r="D4">
        <v>58732</v>
      </c>
      <c r="E4">
        <v>59132</v>
      </c>
      <c r="F4">
        <v>59532</v>
      </c>
      <c r="G4">
        <v>59932</v>
      </c>
      <c r="H4">
        <v>60332</v>
      </c>
      <c r="I4">
        <v>60732</v>
      </c>
      <c r="J4">
        <v>61132</v>
      </c>
      <c r="K4">
        <v>61532</v>
      </c>
      <c r="L4">
        <v>61932</v>
      </c>
      <c r="M4">
        <v>62332</v>
      </c>
    </row>
    <row r="5" spans="1:13">
      <c r="A5">
        <v>8</v>
      </c>
      <c r="B5">
        <v>4</v>
      </c>
      <c r="C5">
        <v>58632</v>
      </c>
      <c r="D5">
        <v>59732</v>
      </c>
      <c r="E5">
        <v>60132</v>
      </c>
      <c r="F5">
        <v>60532</v>
      </c>
      <c r="G5">
        <v>60932</v>
      </c>
      <c r="H5">
        <v>61332</v>
      </c>
      <c r="I5">
        <v>61732</v>
      </c>
      <c r="J5">
        <v>62132</v>
      </c>
      <c r="K5">
        <v>62532</v>
      </c>
      <c r="L5">
        <v>62932</v>
      </c>
      <c r="M5">
        <v>63332</v>
      </c>
    </row>
    <row r="6" spans="1:13">
      <c r="A6">
        <v>9</v>
      </c>
      <c r="B6">
        <v>5</v>
      </c>
      <c r="C6">
        <v>59632</v>
      </c>
      <c r="D6">
        <v>60732</v>
      </c>
      <c r="E6">
        <v>61132</v>
      </c>
      <c r="F6">
        <v>61532</v>
      </c>
      <c r="G6">
        <v>61932</v>
      </c>
      <c r="H6">
        <v>62332</v>
      </c>
      <c r="I6">
        <v>62732</v>
      </c>
      <c r="J6">
        <v>63132</v>
      </c>
      <c r="K6">
        <v>63532</v>
      </c>
      <c r="L6">
        <v>63932</v>
      </c>
      <c r="M6">
        <v>64332</v>
      </c>
    </row>
    <row r="7" spans="1:13">
      <c r="A7">
        <v>10</v>
      </c>
      <c r="B7">
        <v>6</v>
      </c>
      <c r="C7">
        <v>60632</v>
      </c>
      <c r="D7">
        <v>61732</v>
      </c>
      <c r="E7">
        <v>62132</v>
      </c>
      <c r="F7">
        <v>62532</v>
      </c>
      <c r="G7">
        <v>62932</v>
      </c>
      <c r="H7">
        <v>63332</v>
      </c>
      <c r="I7">
        <v>63732</v>
      </c>
      <c r="J7">
        <v>64132</v>
      </c>
      <c r="K7">
        <v>64532</v>
      </c>
      <c r="L7">
        <v>64932</v>
      </c>
      <c r="M7">
        <v>65332</v>
      </c>
    </row>
    <row r="8" spans="1:13">
      <c r="A8">
        <v>11</v>
      </c>
      <c r="B8">
        <v>7</v>
      </c>
      <c r="C8">
        <v>61632</v>
      </c>
      <c r="D8">
        <v>62732</v>
      </c>
      <c r="E8">
        <v>63132</v>
      </c>
      <c r="F8">
        <v>63532</v>
      </c>
      <c r="G8">
        <v>63932</v>
      </c>
      <c r="H8">
        <v>64332</v>
      </c>
      <c r="I8">
        <v>64732</v>
      </c>
      <c r="J8">
        <v>65132</v>
      </c>
      <c r="K8">
        <v>65532</v>
      </c>
      <c r="L8">
        <v>65932</v>
      </c>
      <c r="M8">
        <v>66332</v>
      </c>
    </row>
    <row r="9" spans="1:13">
      <c r="A9">
        <v>12</v>
      </c>
      <c r="B9">
        <v>8</v>
      </c>
      <c r="C9">
        <v>62632</v>
      </c>
      <c r="D9">
        <v>63732</v>
      </c>
      <c r="E9">
        <v>64132</v>
      </c>
      <c r="F9">
        <v>64532</v>
      </c>
      <c r="G9">
        <v>64932</v>
      </c>
      <c r="H9">
        <v>65332</v>
      </c>
      <c r="I9">
        <v>65732</v>
      </c>
      <c r="J9">
        <v>66132</v>
      </c>
      <c r="K9">
        <v>66532</v>
      </c>
      <c r="L9">
        <v>66932</v>
      </c>
      <c r="M9">
        <v>67332</v>
      </c>
    </row>
    <row r="10" spans="1:13">
      <c r="A10">
        <v>13</v>
      </c>
      <c r="B10">
        <v>9</v>
      </c>
      <c r="C10">
        <v>63632</v>
      </c>
      <c r="D10">
        <v>64732</v>
      </c>
      <c r="E10">
        <v>65132</v>
      </c>
      <c r="F10">
        <v>65532</v>
      </c>
      <c r="G10">
        <v>65932</v>
      </c>
      <c r="H10">
        <v>66332</v>
      </c>
      <c r="I10">
        <v>66732</v>
      </c>
      <c r="J10">
        <v>67132</v>
      </c>
      <c r="K10">
        <v>67532</v>
      </c>
      <c r="L10">
        <v>67932</v>
      </c>
      <c r="M10">
        <v>68332</v>
      </c>
    </row>
    <row r="11" spans="1:13">
      <c r="A11">
        <v>14</v>
      </c>
      <c r="B11">
        <v>10</v>
      </c>
      <c r="C11">
        <v>64632</v>
      </c>
      <c r="D11">
        <v>65732</v>
      </c>
      <c r="E11">
        <v>66132</v>
      </c>
      <c r="F11">
        <v>66532</v>
      </c>
      <c r="G11">
        <v>66932</v>
      </c>
      <c r="H11">
        <v>67332</v>
      </c>
      <c r="I11">
        <v>67732</v>
      </c>
      <c r="J11">
        <v>68132</v>
      </c>
      <c r="K11">
        <v>68532</v>
      </c>
      <c r="L11">
        <v>68932</v>
      </c>
      <c r="M11">
        <v>69332</v>
      </c>
    </row>
    <row r="12" spans="1:13">
      <c r="A12">
        <v>15</v>
      </c>
      <c r="B12">
        <v>11</v>
      </c>
      <c r="C12">
        <v>65632</v>
      </c>
      <c r="D12">
        <v>66732</v>
      </c>
      <c r="E12">
        <v>67132</v>
      </c>
      <c r="F12">
        <v>67532</v>
      </c>
      <c r="G12">
        <v>67932</v>
      </c>
      <c r="H12">
        <v>68332</v>
      </c>
      <c r="I12">
        <v>68732</v>
      </c>
      <c r="J12">
        <v>69132</v>
      </c>
      <c r="K12">
        <v>69532</v>
      </c>
      <c r="L12">
        <v>69932</v>
      </c>
      <c r="M12">
        <v>70332</v>
      </c>
    </row>
    <row r="13" spans="1:13">
      <c r="A13">
        <v>16</v>
      </c>
      <c r="B13">
        <v>12</v>
      </c>
      <c r="C13">
        <v>66632</v>
      </c>
      <c r="D13">
        <v>67732</v>
      </c>
      <c r="E13">
        <v>68132</v>
      </c>
      <c r="F13">
        <v>68532</v>
      </c>
      <c r="G13">
        <v>68932</v>
      </c>
      <c r="H13">
        <v>69332</v>
      </c>
      <c r="I13">
        <v>69732</v>
      </c>
      <c r="J13">
        <v>70132</v>
      </c>
      <c r="K13">
        <v>70532</v>
      </c>
      <c r="L13">
        <v>70932</v>
      </c>
      <c r="M13">
        <v>71332</v>
      </c>
    </row>
    <row r="14" spans="1:13">
      <c r="A14">
        <v>18</v>
      </c>
      <c r="B14">
        <v>13</v>
      </c>
      <c r="C14">
        <v>68432</v>
      </c>
      <c r="D14">
        <v>69532</v>
      </c>
      <c r="E14">
        <v>69932</v>
      </c>
      <c r="F14">
        <v>70332</v>
      </c>
      <c r="G14">
        <v>70732</v>
      </c>
      <c r="H14">
        <v>71132</v>
      </c>
      <c r="I14">
        <v>71532</v>
      </c>
      <c r="J14">
        <v>71932</v>
      </c>
      <c r="K14">
        <v>72332</v>
      </c>
      <c r="L14">
        <v>72732</v>
      </c>
      <c r="M14">
        <v>73132</v>
      </c>
    </row>
    <row r="15" spans="1:13">
      <c r="A15">
        <v>19</v>
      </c>
      <c r="B15">
        <v>14</v>
      </c>
      <c r="C15">
        <v>70332</v>
      </c>
      <c r="D15">
        <v>71432</v>
      </c>
      <c r="E15">
        <v>71832</v>
      </c>
      <c r="F15">
        <v>72232</v>
      </c>
      <c r="G15">
        <v>72632</v>
      </c>
      <c r="H15">
        <v>73032</v>
      </c>
      <c r="I15">
        <v>73432</v>
      </c>
      <c r="J15">
        <v>73832</v>
      </c>
      <c r="K15">
        <v>74232</v>
      </c>
      <c r="L15">
        <v>74632</v>
      </c>
      <c r="M15">
        <v>75032</v>
      </c>
    </row>
    <row r="16" spans="1:13">
      <c r="A16">
        <v>20</v>
      </c>
      <c r="B16">
        <v>15</v>
      </c>
      <c r="C16">
        <v>72332</v>
      </c>
      <c r="D16">
        <v>73432</v>
      </c>
      <c r="E16">
        <v>73832</v>
      </c>
      <c r="F16">
        <v>74232</v>
      </c>
      <c r="G16">
        <v>74632</v>
      </c>
      <c r="H16">
        <v>75032</v>
      </c>
      <c r="I16">
        <v>75432</v>
      </c>
      <c r="J16">
        <v>75832</v>
      </c>
      <c r="K16">
        <v>76232</v>
      </c>
      <c r="L16">
        <v>76632</v>
      </c>
      <c r="M16">
        <v>77032</v>
      </c>
    </row>
    <row r="17" spans="1:13">
      <c r="A17">
        <v>21</v>
      </c>
      <c r="B17">
        <v>16</v>
      </c>
      <c r="C17">
        <v>74332</v>
      </c>
      <c r="D17">
        <v>75432</v>
      </c>
      <c r="E17">
        <v>75832</v>
      </c>
      <c r="F17">
        <v>76232</v>
      </c>
      <c r="G17">
        <v>76632</v>
      </c>
      <c r="H17">
        <v>77032</v>
      </c>
      <c r="I17">
        <v>77432</v>
      </c>
      <c r="J17">
        <v>77832</v>
      </c>
      <c r="K17">
        <v>78232</v>
      </c>
      <c r="L17">
        <v>78632</v>
      </c>
      <c r="M17">
        <v>79032</v>
      </c>
    </row>
    <row r="18" spans="1:13">
      <c r="A18">
        <v>22</v>
      </c>
      <c r="B18">
        <v>17</v>
      </c>
      <c r="C18">
        <v>76332</v>
      </c>
      <c r="D18">
        <v>77432</v>
      </c>
      <c r="E18">
        <v>77832</v>
      </c>
      <c r="F18">
        <v>78232</v>
      </c>
      <c r="G18">
        <v>78632</v>
      </c>
      <c r="H18">
        <v>79032</v>
      </c>
      <c r="I18">
        <v>79432</v>
      </c>
      <c r="J18">
        <v>79832</v>
      </c>
      <c r="K18">
        <v>80232</v>
      </c>
      <c r="L18">
        <v>80632</v>
      </c>
      <c r="M18">
        <v>81032</v>
      </c>
    </row>
    <row r="19" spans="1:13">
      <c r="A19">
        <v>23</v>
      </c>
      <c r="B19">
        <v>18</v>
      </c>
      <c r="C19">
        <v>78332</v>
      </c>
      <c r="D19">
        <v>79432</v>
      </c>
      <c r="E19">
        <v>79832</v>
      </c>
      <c r="F19">
        <v>80232</v>
      </c>
      <c r="G19">
        <v>80632</v>
      </c>
      <c r="H19">
        <v>81032</v>
      </c>
      <c r="I19">
        <v>81432</v>
      </c>
      <c r="J19">
        <v>81832</v>
      </c>
      <c r="K19">
        <v>82232</v>
      </c>
      <c r="L19">
        <v>82632</v>
      </c>
      <c r="M19">
        <v>83032</v>
      </c>
    </row>
    <row r="20" spans="1:13">
      <c r="A20">
        <v>24</v>
      </c>
      <c r="B20">
        <v>19</v>
      </c>
      <c r="C20">
        <v>80332</v>
      </c>
      <c r="D20">
        <v>81432</v>
      </c>
      <c r="E20">
        <v>81832</v>
      </c>
      <c r="F20">
        <v>82232</v>
      </c>
      <c r="G20">
        <v>82632</v>
      </c>
      <c r="H20">
        <v>83032</v>
      </c>
      <c r="I20">
        <v>83432</v>
      </c>
      <c r="J20">
        <v>83832</v>
      </c>
      <c r="K20">
        <v>84232</v>
      </c>
      <c r="L20">
        <v>84632</v>
      </c>
      <c r="M20">
        <v>85032</v>
      </c>
    </row>
    <row r="21" spans="1:13">
      <c r="A21">
        <v>25</v>
      </c>
      <c r="B21">
        <v>20</v>
      </c>
      <c r="C21">
        <v>82487</v>
      </c>
      <c r="D21">
        <v>83751</v>
      </c>
      <c r="E21">
        <v>84151</v>
      </c>
      <c r="F21">
        <v>84551</v>
      </c>
      <c r="G21">
        <v>84951</v>
      </c>
      <c r="H21">
        <v>85351</v>
      </c>
      <c r="I21">
        <v>85751</v>
      </c>
      <c r="J21">
        <v>86151</v>
      </c>
      <c r="K21">
        <v>86551</v>
      </c>
      <c r="L21">
        <v>86951</v>
      </c>
      <c r="M21">
        <v>87351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BBB2-7F8F-4905-AE96-59DEB8633A4C}">
  <dimension ref="A1:E32"/>
  <sheetViews>
    <sheetView workbookViewId="0">
      <selection activeCell="A26" sqref="A26"/>
    </sheetView>
  </sheetViews>
  <sheetFormatPr defaultRowHeight="14.45"/>
  <sheetData>
    <row r="1" spans="1:5">
      <c r="A1" t="s">
        <v>7</v>
      </c>
      <c r="B1" t="s">
        <v>8</v>
      </c>
      <c r="C1" t="s">
        <v>10</v>
      </c>
      <c r="D1" t="s">
        <v>11</v>
      </c>
      <c r="E1" t="s">
        <v>6</v>
      </c>
    </row>
    <row r="2" spans="1:5">
      <c r="A2">
        <v>1</v>
      </c>
      <c r="B2">
        <v>0</v>
      </c>
      <c r="C2">
        <v>0</v>
      </c>
      <c r="D2">
        <v>0</v>
      </c>
      <c r="E2">
        <v>0</v>
      </c>
    </row>
    <row r="3" spans="1:5">
      <c r="A3">
        <v>2</v>
      </c>
      <c r="B3">
        <v>45208</v>
      </c>
      <c r="C3">
        <v>45731</v>
      </c>
      <c r="D3">
        <v>46749</v>
      </c>
      <c r="E3">
        <v>47749</v>
      </c>
    </row>
    <row r="4" spans="1:5">
      <c r="A4">
        <v>3</v>
      </c>
      <c r="B4">
        <v>45808</v>
      </c>
      <c r="C4">
        <v>46331</v>
      </c>
      <c r="D4">
        <v>47349</v>
      </c>
      <c r="E4">
        <v>48349</v>
      </c>
    </row>
    <row r="5" spans="1:5">
      <c r="A5">
        <v>4</v>
      </c>
      <c r="B5">
        <v>46408</v>
      </c>
      <c r="C5">
        <v>46931</v>
      </c>
      <c r="D5">
        <v>47949</v>
      </c>
      <c r="E5">
        <v>48949</v>
      </c>
    </row>
    <row r="6" spans="1:5">
      <c r="A6">
        <v>5</v>
      </c>
      <c r="B6">
        <v>47408</v>
      </c>
      <c r="C6">
        <v>47931</v>
      </c>
      <c r="D6">
        <v>48949</v>
      </c>
      <c r="E6">
        <v>49949</v>
      </c>
    </row>
    <row r="7" spans="1:5">
      <c r="A7">
        <v>6</v>
      </c>
      <c r="B7">
        <v>48408</v>
      </c>
      <c r="C7">
        <v>48931</v>
      </c>
      <c r="D7">
        <v>49949</v>
      </c>
      <c r="E7">
        <v>50949</v>
      </c>
    </row>
    <row r="8" spans="1:5">
      <c r="A8">
        <v>7</v>
      </c>
      <c r="B8">
        <v>49458</v>
      </c>
      <c r="C8">
        <v>49981</v>
      </c>
      <c r="D8">
        <v>50999</v>
      </c>
      <c r="E8">
        <v>51999</v>
      </c>
    </row>
    <row r="9" spans="1:5">
      <c r="A9">
        <v>8</v>
      </c>
      <c r="B9">
        <v>50358</v>
      </c>
      <c r="C9">
        <v>50881</v>
      </c>
      <c r="D9">
        <v>51899</v>
      </c>
      <c r="E9">
        <v>52899</v>
      </c>
    </row>
    <row r="10" spans="1:5">
      <c r="A10">
        <v>9</v>
      </c>
      <c r="B10">
        <v>51158</v>
      </c>
      <c r="C10">
        <v>51681</v>
      </c>
      <c r="D10">
        <v>52699</v>
      </c>
      <c r="E10">
        <v>53699</v>
      </c>
    </row>
    <row r="11" spans="1:5">
      <c r="A11">
        <v>10</v>
      </c>
      <c r="B11">
        <v>52008</v>
      </c>
      <c r="C11">
        <v>52531</v>
      </c>
      <c r="D11">
        <v>53549</v>
      </c>
      <c r="E11">
        <v>54549</v>
      </c>
    </row>
    <row r="12" spans="1:5">
      <c r="A12">
        <v>11</v>
      </c>
      <c r="B12">
        <v>52758</v>
      </c>
      <c r="C12">
        <v>53281</v>
      </c>
      <c r="D12">
        <v>54299</v>
      </c>
      <c r="E12">
        <v>55299</v>
      </c>
    </row>
    <row r="13" spans="1:5">
      <c r="A13">
        <v>12</v>
      </c>
      <c r="B13">
        <v>53408</v>
      </c>
      <c r="C13">
        <v>53931</v>
      </c>
      <c r="D13">
        <v>54949</v>
      </c>
      <c r="E13">
        <v>55949</v>
      </c>
    </row>
    <row r="14" spans="1:5">
      <c r="A14">
        <v>13</v>
      </c>
      <c r="B14">
        <v>54158</v>
      </c>
      <c r="C14">
        <v>54681</v>
      </c>
      <c r="D14">
        <v>55699</v>
      </c>
      <c r="E14">
        <v>56699</v>
      </c>
    </row>
    <row r="15" spans="1:5">
      <c r="A15">
        <v>14</v>
      </c>
      <c r="B15">
        <v>55158</v>
      </c>
      <c r="C15">
        <v>55681</v>
      </c>
      <c r="D15">
        <v>56699</v>
      </c>
      <c r="E15">
        <v>57699</v>
      </c>
    </row>
    <row r="16" spans="1:5">
      <c r="A16">
        <v>15</v>
      </c>
      <c r="B16">
        <v>56458</v>
      </c>
      <c r="C16">
        <v>56981</v>
      </c>
      <c r="D16">
        <v>57999</v>
      </c>
      <c r="E16">
        <v>58999</v>
      </c>
    </row>
    <row r="17" spans="1:5">
      <c r="A17">
        <v>16</v>
      </c>
      <c r="B17">
        <v>57758</v>
      </c>
      <c r="C17">
        <v>58281</v>
      </c>
      <c r="D17">
        <v>59299</v>
      </c>
      <c r="E17">
        <v>60299</v>
      </c>
    </row>
    <row r="18" spans="1:5">
      <c r="A18">
        <v>17</v>
      </c>
      <c r="B18">
        <v>59308</v>
      </c>
      <c r="C18">
        <v>59831</v>
      </c>
      <c r="D18">
        <v>60849</v>
      </c>
      <c r="E18">
        <v>61849</v>
      </c>
    </row>
    <row r="19" spans="1:5">
      <c r="A19">
        <v>18</v>
      </c>
      <c r="B19">
        <v>61908</v>
      </c>
      <c r="C19">
        <v>62431</v>
      </c>
      <c r="D19">
        <v>63449</v>
      </c>
      <c r="E19">
        <v>64449</v>
      </c>
    </row>
    <row r="20" spans="1:5">
      <c r="A20">
        <v>19</v>
      </c>
      <c r="B20">
        <v>65958</v>
      </c>
      <c r="C20">
        <v>66481</v>
      </c>
      <c r="D20">
        <v>67499</v>
      </c>
      <c r="E20">
        <v>68499</v>
      </c>
    </row>
    <row r="21" spans="1:5">
      <c r="A21">
        <v>20</v>
      </c>
      <c r="B21">
        <v>69533</v>
      </c>
      <c r="C21">
        <v>70056</v>
      </c>
      <c r="D21">
        <v>71074</v>
      </c>
      <c r="E21">
        <v>72074</v>
      </c>
    </row>
    <row r="22" spans="1:5">
      <c r="A22">
        <v>21</v>
      </c>
      <c r="B22">
        <v>73574</v>
      </c>
      <c r="C22">
        <v>74846</v>
      </c>
      <c r="D22">
        <v>75615</v>
      </c>
      <c r="E22">
        <v>75715</v>
      </c>
    </row>
    <row r="24" spans="1:5">
      <c r="A24" t="s">
        <v>53</v>
      </c>
    </row>
    <row r="25" spans="1:5">
      <c r="A25" t="s">
        <v>54</v>
      </c>
      <c r="B25" t="s">
        <v>55</v>
      </c>
      <c r="E25" t="s">
        <v>56</v>
      </c>
    </row>
    <row r="26" spans="1:5">
      <c r="A26" t="s">
        <v>14</v>
      </c>
    </row>
    <row r="28" spans="1:5">
      <c r="A28" t="s">
        <v>16</v>
      </c>
      <c r="B28">
        <v>185</v>
      </c>
    </row>
    <row r="29" spans="1:5">
      <c r="A29" t="s">
        <v>57</v>
      </c>
      <c r="B29">
        <v>410</v>
      </c>
    </row>
    <row r="30" spans="1:5">
      <c r="A30" t="s">
        <v>18</v>
      </c>
      <c r="B30">
        <f>B29/60</f>
        <v>6.833333333333333</v>
      </c>
    </row>
    <row r="31" spans="1:5">
      <c r="A31" t="s">
        <v>19</v>
      </c>
      <c r="B31">
        <v>16</v>
      </c>
      <c r="C31" t="s">
        <v>58</v>
      </c>
    </row>
    <row r="32" spans="1:5">
      <c r="A32" t="s">
        <v>20</v>
      </c>
      <c r="B32">
        <f>(B28*B30)+B31</f>
        <v>1280.1666666666665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0A2F-91FD-4AFB-A047-8382ECD40E3A}">
  <dimension ref="A1:K84"/>
  <sheetViews>
    <sheetView workbookViewId="0">
      <selection activeCell="E1" sqref="E1:G1048576"/>
    </sheetView>
  </sheetViews>
  <sheetFormatPr defaultRowHeight="15" customHeight="1"/>
  <cols>
    <col min="2" max="2" width="13" customWidth="1"/>
    <col min="3" max="3" width="11" customWidth="1"/>
    <col min="5" max="5" width="13.140625" customWidth="1"/>
    <col min="6" max="6" width="10" customWidth="1"/>
    <col min="7" max="7" width="13.140625" customWidth="1"/>
    <col min="8" max="8" width="14.28515625" customWidth="1"/>
    <col min="9" max="9" width="11.42578125" customWidth="1"/>
    <col min="10" max="10" width="11.7109375" customWidth="1"/>
    <col min="11" max="11" width="11.28515625" customWidth="1"/>
  </cols>
  <sheetData>
    <row r="1" spans="1:11">
      <c r="A1" t="s">
        <v>59</v>
      </c>
    </row>
    <row r="2" spans="1:11">
      <c r="A2" s="5"/>
      <c r="B2" s="6" t="s">
        <v>60</v>
      </c>
      <c r="C2" s="5"/>
      <c r="D2" s="5"/>
      <c r="E2" s="7" t="s">
        <v>61</v>
      </c>
      <c r="F2" s="5"/>
      <c r="G2" s="5"/>
      <c r="H2" s="8" t="s">
        <v>62</v>
      </c>
      <c r="I2" s="5"/>
      <c r="J2" s="5"/>
    </row>
    <row r="3" spans="1:11">
      <c r="A3" s="9" t="s">
        <v>7</v>
      </c>
      <c r="B3" s="6" t="s">
        <v>63</v>
      </c>
      <c r="C3" s="6" t="s">
        <v>53</v>
      </c>
      <c r="D3" s="10" t="s">
        <v>64</v>
      </c>
      <c r="E3" s="7" t="s">
        <v>65</v>
      </c>
      <c r="F3" s="7" t="s">
        <v>53</v>
      </c>
      <c r="G3" s="7" t="s">
        <v>64</v>
      </c>
      <c r="H3" s="8" t="s">
        <v>66</v>
      </c>
      <c r="I3" s="8" t="s">
        <v>53</v>
      </c>
      <c r="J3" s="8" t="s">
        <v>64</v>
      </c>
    </row>
    <row r="4" spans="1:11">
      <c r="A4" s="9">
        <v>1</v>
      </c>
      <c r="B4" s="11">
        <f>AVERAGE('Crawford Central School 26-27'!D2, 'Corry 23-24'!C3,'Mercer 26-27'!B2,'Erie School District 26-27'!C2)</f>
        <v>52685.25</v>
      </c>
      <c r="C4" s="12">
        <v>0</v>
      </c>
      <c r="D4" s="12"/>
      <c r="E4" s="13">
        <f>MIN('Crawford Central School 26-27'!D2, 'Corry 23-24'!C3,'Mercer 26-27'!B2,'Erie School District 26-27'!C2)</f>
        <v>42108</v>
      </c>
      <c r="F4" s="14">
        <v>0</v>
      </c>
      <c r="G4" s="14"/>
      <c r="H4" s="15">
        <f>MAX('Crawford Central School 26-27'!D2, 'Corry 23-24'!C3,'Mercer 26-27'!B2,'Erie School District 26-27'!C2)</f>
        <v>57646</v>
      </c>
      <c r="I4" s="16">
        <v>0</v>
      </c>
      <c r="J4" s="16"/>
      <c r="K4" t="s">
        <v>67</v>
      </c>
    </row>
    <row r="5" spans="1:11">
      <c r="A5" s="9">
        <v>2</v>
      </c>
      <c r="B5" s="11">
        <f>AVERAGE('Crawford Central School 26-27'!D3, 'Corry 23-24'!C4,'Mercer 26-27'!B3,'Erie School District 26-27'!C3)</f>
        <v>53315.25</v>
      </c>
      <c r="C5" s="11">
        <v>45208</v>
      </c>
      <c r="D5" s="11">
        <f>C5 - B5</f>
        <v>-8107.25</v>
      </c>
      <c r="E5" s="13">
        <f>MIN('Crawford Central School 26-27'!D3, 'Corry 23-24'!C4,'Mercer 26-27'!B3,'Erie School District 26-27'!C3)</f>
        <v>42628</v>
      </c>
      <c r="F5" s="13">
        <v>45208</v>
      </c>
      <c r="G5" s="13">
        <f>F5 - E5</f>
        <v>2580</v>
      </c>
      <c r="H5" s="15">
        <f>MAX('Crawford Central School 26-27'!D3, 'Corry 23-24'!C4,'Mercer 26-27'!B3,'Erie School District 26-27'!C3)</f>
        <v>59039</v>
      </c>
      <c r="I5" s="15">
        <v>45208</v>
      </c>
      <c r="J5" s="15">
        <f>I5 - H5</f>
        <v>-13831</v>
      </c>
      <c r="K5" t="s">
        <v>68</v>
      </c>
    </row>
    <row r="6" spans="1:11">
      <c r="A6" s="9">
        <v>3</v>
      </c>
      <c r="B6" s="11">
        <f>AVERAGE('Crawford Central School 26-27'!D4, 'Corry 23-24'!C5,'Mercer 26-27'!B4,'Erie School District 26-27'!C4)</f>
        <v>53895.25</v>
      </c>
      <c r="C6" s="11">
        <v>45808</v>
      </c>
      <c r="D6" s="11">
        <f>C6 - B6</f>
        <v>-8087.25</v>
      </c>
      <c r="E6" s="13">
        <f>MIN('Crawford Central School 26-27'!D4, 'Corry 23-24'!C5,'Mercer 26-27'!B4,'Erie School District 26-27'!C4)</f>
        <v>42948</v>
      </c>
      <c r="F6" s="13">
        <v>45808</v>
      </c>
      <c r="G6" s="13">
        <f>F6 - E6</f>
        <v>2860</v>
      </c>
      <c r="H6" s="15">
        <f>MAX('Crawford Central School 26-27'!D4, 'Corry 23-24'!C5,'Mercer 26-27'!B4,'Erie School District 26-27'!C4)</f>
        <v>60432</v>
      </c>
      <c r="I6" s="15">
        <v>45808</v>
      </c>
      <c r="J6" s="15">
        <f>I6 - H6</f>
        <v>-14624</v>
      </c>
      <c r="K6" t="s">
        <v>69</v>
      </c>
    </row>
    <row r="7" spans="1:11">
      <c r="A7" s="9">
        <v>4</v>
      </c>
      <c r="B7" s="11">
        <f>AVERAGE('Crawford Central School 26-27'!D5, 'Corry 23-24'!C6,'Mercer 26-27'!B5,'Erie School District 26-27'!C5)</f>
        <v>54500.5</v>
      </c>
      <c r="C7" s="11">
        <v>46408</v>
      </c>
      <c r="D7" s="11">
        <f>C7 - B7</f>
        <v>-8092.5</v>
      </c>
      <c r="E7" s="13">
        <f>MIN('Crawford Central School 26-27'!D5, 'Corry 23-24'!C6,'Mercer 26-27'!B5,'Erie School District 26-27'!C5)</f>
        <v>43369</v>
      </c>
      <c r="F7" s="13">
        <v>46408</v>
      </c>
      <c r="G7" s="13">
        <f>F7 - E7</f>
        <v>3039</v>
      </c>
      <c r="H7" s="15">
        <f>MAX('Crawford Central School 26-27'!D5, 'Corry 23-24'!C6,'Mercer 26-27'!B5,'Erie School District 26-27'!C5)</f>
        <v>61825</v>
      </c>
      <c r="I7" s="15">
        <v>46408</v>
      </c>
      <c r="J7" s="15">
        <f>I7 - H7</f>
        <v>-15417</v>
      </c>
    </row>
    <row r="8" spans="1:11">
      <c r="A8" s="9">
        <v>5</v>
      </c>
      <c r="B8" s="11">
        <f>AVERAGE('Crawford Central School 26-27'!D6, 'Corry 23-24'!C7,'Mercer 26-27'!B6,'Erie School District 26-27'!C6)</f>
        <v>55400.5</v>
      </c>
      <c r="C8" s="11">
        <v>47408</v>
      </c>
      <c r="D8" s="11">
        <f>C8 - B8</f>
        <v>-7992.5</v>
      </c>
      <c r="E8" s="13">
        <f>MIN('Crawford Central School 26-27'!D6, 'Corry 23-24'!C7,'Mercer 26-27'!B6,'Erie School District 26-27'!C6)</f>
        <v>43824</v>
      </c>
      <c r="F8" s="13">
        <v>47408</v>
      </c>
      <c r="G8" s="13">
        <f>F8 - E8</f>
        <v>3584</v>
      </c>
      <c r="H8" s="15">
        <f>MAX('Crawford Central School 26-27'!D6, 'Corry 23-24'!C7,'Mercer 26-27'!B6,'Erie School District 26-27'!C6)</f>
        <v>63218</v>
      </c>
      <c r="I8" s="15">
        <v>47408</v>
      </c>
      <c r="J8" s="15">
        <f>I8 - H8</f>
        <v>-15810</v>
      </c>
    </row>
    <row r="9" spans="1:11">
      <c r="A9" s="9">
        <v>6</v>
      </c>
      <c r="B9" s="11">
        <f>AVERAGE('Crawford Central School 26-27'!D7, 'Corry 23-24'!C8,'Mercer 26-27'!B7,'Erie School District 26-27'!C7)</f>
        <v>56505.75</v>
      </c>
      <c r="C9" s="11">
        <v>48408</v>
      </c>
      <c r="D9" s="11">
        <f>C9 - B9</f>
        <v>-8097.75</v>
      </c>
      <c r="E9" s="13">
        <f>MIN('Crawford Central School 26-27'!D7, 'Corry 23-24'!C8,'Mercer 26-27'!B7,'Erie School District 26-27'!C7)</f>
        <v>45100</v>
      </c>
      <c r="F9" s="13">
        <v>48408</v>
      </c>
      <c r="G9" s="13">
        <f>F9 - E9</f>
        <v>3308</v>
      </c>
      <c r="H9" s="15">
        <f>MAX('Crawford Central School 26-27'!D7, 'Corry 23-24'!C8,'Mercer 26-27'!B7,'Erie School District 26-27'!C7)</f>
        <v>64611</v>
      </c>
      <c r="I9" s="15">
        <v>48408</v>
      </c>
      <c r="J9" s="15">
        <f>I9 - H9</f>
        <v>-16203</v>
      </c>
    </row>
    <row r="10" spans="1:11">
      <c r="A10" s="9">
        <v>7</v>
      </c>
      <c r="B10" s="11">
        <f>AVERAGE('Crawford Central School 26-27'!D8, 'Corry 23-24'!C9,'Mercer 26-27'!B8,'Erie School District 26-27'!C8)</f>
        <v>58218.5</v>
      </c>
      <c r="C10" s="11">
        <v>49458</v>
      </c>
      <c r="D10" s="11">
        <f>C10 - B10</f>
        <v>-8760.5</v>
      </c>
      <c r="E10" s="13">
        <f>MIN('Crawford Central School 26-27'!D8, 'Corry 23-24'!C9,'Mercer 26-27'!B8,'Erie School District 26-27'!C8)</f>
        <v>46603</v>
      </c>
      <c r="F10" s="13">
        <v>49458</v>
      </c>
      <c r="G10" s="13">
        <f>F10 - E10</f>
        <v>2855</v>
      </c>
      <c r="H10" s="15">
        <f>MAX('Crawford Central School 26-27'!D8, 'Corry 23-24'!C9,'Mercer 26-27'!B8,'Erie School District 26-27'!C8)</f>
        <v>66004</v>
      </c>
      <c r="I10" s="15">
        <v>49458</v>
      </c>
      <c r="J10" s="15">
        <f>I10 - H10</f>
        <v>-16546</v>
      </c>
    </row>
    <row r="11" spans="1:11">
      <c r="A11" s="9">
        <v>8</v>
      </c>
      <c r="B11" s="11">
        <f>AVERAGE('Crawford Central School 26-27'!D9, 'Corry 23-24'!C10,'Mercer 26-27'!B9,'Erie School District 26-27'!C9)</f>
        <v>58950.75</v>
      </c>
      <c r="C11" s="11">
        <v>50358</v>
      </c>
      <c r="D11" s="11">
        <f>C11 - B11</f>
        <v>-8592.75</v>
      </c>
      <c r="E11" s="13">
        <f>MIN('Crawford Central School 26-27'!D9, 'Corry 23-24'!C10,'Mercer 26-27'!B9,'Erie School District 26-27'!C9)</f>
        <v>48183</v>
      </c>
      <c r="F11" s="13">
        <v>50358</v>
      </c>
      <c r="G11" s="13">
        <f>F11 - E11</f>
        <v>2175</v>
      </c>
      <c r="H11" s="15">
        <f>MAX('Crawford Central School 26-27'!D9, 'Corry 23-24'!C10,'Mercer 26-27'!B9,'Erie School District 26-27'!C9)</f>
        <v>67397</v>
      </c>
      <c r="I11" s="15">
        <v>50358</v>
      </c>
      <c r="J11" s="15">
        <f>I11 - H11</f>
        <v>-17039</v>
      </c>
    </row>
    <row r="12" spans="1:11">
      <c r="A12" s="9">
        <v>9</v>
      </c>
      <c r="B12" s="11">
        <f>AVERAGE('Crawford Central School 26-27'!D10, 'Corry 23-24'!C11,'Mercer 26-27'!B10,'Erie School District 26-27'!C10)</f>
        <v>60200.75</v>
      </c>
      <c r="C12" s="11">
        <v>51158</v>
      </c>
      <c r="D12" s="11">
        <f>C12 - B12</f>
        <v>-9042.75</v>
      </c>
      <c r="E12" s="13">
        <f>MIN('Crawford Central School 26-27'!D10, 'Corry 23-24'!C11,'Mercer 26-27'!B10,'Erie School District 26-27'!C10)</f>
        <v>49836</v>
      </c>
      <c r="F12" s="13">
        <v>51158</v>
      </c>
      <c r="G12" s="13">
        <f>F12 - E12</f>
        <v>1322</v>
      </c>
      <c r="H12" s="15">
        <f>MAX('Crawford Central School 26-27'!D10, 'Corry 23-24'!C11,'Mercer 26-27'!B10,'Erie School District 26-27'!C10)</f>
        <v>68790</v>
      </c>
      <c r="I12" s="15">
        <v>51158</v>
      </c>
      <c r="J12" s="15">
        <f>I12 - H12</f>
        <v>-17632</v>
      </c>
    </row>
    <row r="13" spans="1:11">
      <c r="A13" s="9">
        <v>10</v>
      </c>
      <c r="B13" s="11">
        <f>AVERAGE('Crawford Central School 26-27'!D11, 'Corry 23-24'!C12,'Mercer 26-27'!B11,'Erie School District 26-27'!C11)</f>
        <v>62039.5</v>
      </c>
      <c r="C13" s="11">
        <v>52008</v>
      </c>
      <c r="D13" s="11">
        <f>C13 - B13</f>
        <v>-10031.5</v>
      </c>
      <c r="E13" s="13">
        <f>MIN('Crawford Central School 26-27'!D11, 'Corry 23-24'!C12,'Mercer 26-27'!B11,'Erie School District 26-27'!C11)</f>
        <v>51416</v>
      </c>
      <c r="F13" s="13">
        <v>52008</v>
      </c>
      <c r="G13" s="13">
        <f>F13 - E13</f>
        <v>592</v>
      </c>
      <c r="H13" s="15">
        <f>MAX('Crawford Central School 26-27'!D11, 'Corry 23-24'!C12,'Mercer 26-27'!B11,'Erie School District 26-27'!C11)</f>
        <v>70183</v>
      </c>
      <c r="I13" s="15">
        <v>52008</v>
      </c>
      <c r="J13" s="15">
        <f>I13 - H13</f>
        <v>-18175</v>
      </c>
    </row>
    <row r="14" spans="1:11">
      <c r="A14" s="9">
        <v>11</v>
      </c>
      <c r="B14" s="11">
        <f>AVERAGE('Crawford Central School 26-27'!D12, 'Corry 23-24'!C13,'Mercer 26-27'!B12,'Erie School District 26-27'!C12)</f>
        <v>63205.5</v>
      </c>
      <c r="C14" s="11">
        <v>52758</v>
      </c>
      <c r="D14" s="11">
        <f>C14 - B14</f>
        <v>-10447.5</v>
      </c>
      <c r="E14" s="13">
        <f>MIN('Crawford Central School 26-27'!D12, 'Corry 23-24'!C13,'Mercer 26-27'!B12,'Erie School District 26-27'!C12)</f>
        <v>52994</v>
      </c>
      <c r="F14" s="13">
        <v>52758</v>
      </c>
      <c r="G14" s="13">
        <f>F14 - E14</f>
        <v>-236</v>
      </c>
      <c r="H14" s="15">
        <f>MAX('Crawford Central School 26-27'!D12, 'Corry 23-24'!C13,'Mercer 26-27'!B12,'Erie School District 26-27'!C12)</f>
        <v>71576</v>
      </c>
      <c r="I14" s="15">
        <v>52758</v>
      </c>
      <c r="J14" s="15">
        <f>I14 - H14</f>
        <v>-18818</v>
      </c>
    </row>
    <row r="15" spans="1:11">
      <c r="A15" s="9">
        <v>12</v>
      </c>
      <c r="B15" s="11">
        <f>AVERAGE('Crawford Central School 26-27'!D13, 'Corry 23-24'!C14,'Mercer 26-27'!B13,'Erie School District 26-27'!C13)</f>
        <v>64872</v>
      </c>
      <c r="C15" s="11">
        <v>53408</v>
      </c>
      <c r="D15" s="11">
        <f>C15 - B15</f>
        <v>-11464</v>
      </c>
      <c r="E15" s="13">
        <f>MIN('Crawford Central School 26-27'!D13, 'Corry 23-24'!C14,'Mercer 26-27'!B13,'Erie School District 26-27'!C13)</f>
        <v>54574</v>
      </c>
      <c r="F15" s="13">
        <v>53408</v>
      </c>
      <c r="G15" s="13">
        <f>F15 - E15</f>
        <v>-1166</v>
      </c>
      <c r="H15" s="15">
        <f>MAX('Crawford Central School 26-27'!D13, 'Corry 23-24'!C14,'Mercer 26-27'!B13,'Erie School District 26-27'!C13)</f>
        <v>72969</v>
      </c>
      <c r="I15" s="15">
        <v>53408</v>
      </c>
      <c r="J15" s="15">
        <f>I15 - H15</f>
        <v>-19561</v>
      </c>
    </row>
    <row r="16" spans="1:11">
      <c r="A16" s="9">
        <v>13</v>
      </c>
      <c r="B16" s="11">
        <f>AVERAGE('Crawford Central School 26-27'!D14, 'Corry 23-24'!C15,'Mercer 26-27'!B14,'Erie School District 26-27'!C14)</f>
        <v>66537.75</v>
      </c>
      <c r="C16" s="11">
        <v>54158</v>
      </c>
      <c r="D16" s="11">
        <f>C16 - B16</f>
        <v>-12379.75</v>
      </c>
      <c r="E16" s="13">
        <f>MIN('Crawford Central School 26-27'!D14, 'Corry 23-24'!C15,'Mercer 26-27'!B14,'Erie School District 26-27'!C14)</f>
        <v>56152</v>
      </c>
      <c r="F16" s="13">
        <v>54158</v>
      </c>
      <c r="G16" s="13">
        <f>F16 - E16</f>
        <v>-1994</v>
      </c>
      <c r="H16" s="15">
        <f>MAX('Crawford Central School 26-27'!D14, 'Corry 23-24'!C15,'Mercer 26-27'!B14,'Erie School District 26-27'!C14)</f>
        <v>74362</v>
      </c>
      <c r="I16" s="15">
        <v>54158</v>
      </c>
      <c r="J16" s="15">
        <f>I16 - H16</f>
        <v>-20204</v>
      </c>
    </row>
    <row r="17" spans="1:10">
      <c r="A17" s="9">
        <v>14</v>
      </c>
      <c r="B17" s="11">
        <f>AVERAGE('Crawford Central School 26-27'!D15, 'Corry 23-24'!C16,'Mercer 26-27'!B15,'Erie School District 26-27'!C15)</f>
        <v>68204.25</v>
      </c>
      <c r="C17" s="11">
        <v>55158</v>
      </c>
      <c r="D17" s="11">
        <f>C17 - B17</f>
        <v>-13046.25</v>
      </c>
      <c r="E17" s="13">
        <f>MIN('Crawford Central School 26-27'!D15, 'Corry 23-24'!C16,'Mercer 26-27'!B15,'Erie School District 26-27'!C15)</f>
        <v>57732</v>
      </c>
      <c r="F17" s="13">
        <v>55158</v>
      </c>
      <c r="G17" s="13">
        <f>F17 - E17</f>
        <v>-2574</v>
      </c>
      <c r="H17" s="15">
        <f>MAX('Crawford Central School 26-27'!D15, 'Corry 23-24'!C16,'Mercer 26-27'!B15,'Erie School District 26-27'!C15)</f>
        <v>75755</v>
      </c>
      <c r="I17" s="15">
        <v>55158</v>
      </c>
      <c r="J17" s="15">
        <f>I17 - H17</f>
        <v>-20597</v>
      </c>
    </row>
    <row r="18" spans="1:10">
      <c r="A18" s="9">
        <v>15</v>
      </c>
      <c r="B18" s="11">
        <f>AVERAGE('Crawford Central School 26-27'!D16, 'Corry 23-24'!C17,'Mercer 26-27'!B16,'Erie School District 26-27'!C16)</f>
        <v>69346</v>
      </c>
      <c r="C18" s="11">
        <v>56458</v>
      </c>
      <c r="D18" s="11">
        <f>C18 - B18</f>
        <v>-12888</v>
      </c>
      <c r="E18" s="13">
        <f>MIN('Crawford Central School 26-27'!D16, 'Corry 23-24'!C17,'Mercer 26-27'!B16,'Erie School District 26-27'!C16)</f>
        <v>59454</v>
      </c>
      <c r="F18" s="13">
        <v>56458</v>
      </c>
      <c r="G18" s="13">
        <f>F18 - E18</f>
        <v>-2996</v>
      </c>
      <c r="H18" s="15">
        <f>MAX('Crawford Central School 26-27'!D16, 'Corry 23-24'!C17,'Mercer 26-27'!B16,'Erie School District 26-27'!C16)</f>
        <v>77148</v>
      </c>
      <c r="I18" s="15">
        <v>56458</v>
      </c>
      <c r="J18" s="15">
        <f>I18 - H18</f>
        <v>-20690</v>
      </c>
    </row>
    <row r="19" spans="1:10">
      <c r="A19" s="9">
        <v>16</v>
      </c>
      <c r="B19" s="11">
        <f>AVERAGE('Crawford Central School 26-27'!D17, 'Corry 23-24'!C18,'Mercer 26-27'!B17,'Erie School District 26-27'!C17)</f>
        <v>70232.25</v>
      </c>
      <c r="C19" s="11">
        <v>57758</v>
      </c>
      <c r="D19" s="11">
        <f>C19 - B19</f>
        <v>-12474.25</v>
      </c>
      <c r="E19" s="13">
        <f>MIN('Crawford Central School 26-27'!D17, 'Corry 23-24'!C18,'Mercer 26-27'!B17,'Erie School District 26-27'!C17)</f>
        <v>61547</v>
      </c>
      <c r="F19" s="13">
        <v>57758</v>
      </c>
      <c r="G19" s="13">
        <f>F19 - E19</f>
        <v>-3789</v>
      </c>
      <c r="H19" s="15">
        <f>MAX('Crawford Central School 26-27'!D17, 'Corry 23-24'!C18,'Mercer 26-27'!B17,'Erie School District 26-27'!C17)</f>
        <v>77148</v>
      </c>
      <c r="I19" s="15">
        <v>57758</v>
      </c>
      <c r="J19" s="15">
        <f>I19 - H19</f>
        <v>-19390</v>
      </c>
    </row>
    <row r="20" spans="1:10">
      <c r="A20" s="9">
        <v>17</v>
      </c>
      <c r="B20" s="11">
        <f>AVERAGE('Crawford Central School 26-27'!D18, 'Corry 23-24'!C19,'Mercer 26-27'!B18,'Erie School District 26-27'!C18)</f>
        <v>70595</v>
      </c>
      <c r="C20" s="11">
        <v>59308</v>
      </c>
      <c r="D20" s="11">
        <f>C20 - B20</f>
        <v>-11287</v>
      </c>
      <c r="E20" s="13">
        <f>MIN('Crawford Central School 26-27'!D18, 'Corry 23-24'!C19,'Mercer 26-27'!B18,'Erie School District 26-27'!C18)</f>
        <v>61547</v>
      </c>
      <c r="F20" s="13">
        <v>59308</v>
      </c>
      <c r="G20" s="13">
        <f>F20 - E20</f>
        <v>-2239</v>
      </c>
      <c r="H20" s="15">
        <f>MAX('Crawford Central School 26-27'!D18, 'Corry 23-24'!C19,'Mercer 26-27'!B18,'Erie School District 26-27'!C18)</f>
        <v>77148</v>
      </c>
      <c r="I20" s="15">
        <v>59308</v>
      </c>
      <c r="J20" s="15">
        <f>I20 - H20</f>
        <v>-17840</v>
      </c>
    </row>
    <row r="21" spans="1:10">
      <c r="A21" s="9">
        <v>18</v>
      </c>
      <c r="B21" s="11">
        <f>AVERAGE('Crawford Central School 26-27'!D19, 'Corry 23-24'!C20,'Mercer 26-27'!B19,'Erie School District 26-27'!C19)</f>
        <v>70958</v>
      </c>
      <c r="C21" s="11">
        <v>61908</v>
      </c>
      <c r="D21" s="11">
        <f>C21 - B21</f>
        <v>-9050</v>
      </c>
      <c r="E21" s="13">
        <f>MIN('Crawford Central School 26-27'!D19, 'Corry 23-24'!C20,'Mercer 26-27'!B19,'Erie School District 26-27'!C19)</f>
        <v>61547</v>
      </c>
      <c r="F21" s="13">
        <v>61908</v>
      </c>
      <c r="G21" s="13">
        <f>F21 - E21</f>
        <v>361</v>
      </c>
      <c r="H21" s="15">
        <f>MAX('Crawford Central School 26-27'!D19, 'Corry 23-24'!C20,'Mercer 26-27'!B19,'Erie School District 26-27'!C19)</f>
        <v>77996</v>
      </c>
      <c r="I21" s="15">
        <v>61908</v>
      </c>
      <c r="J21" s="15">
        <f>I21 - H21</f>
        <v>-16088</v>
      </c>
    </row>
    <row r="22" spans="1:10">
      <c r="A22" s="9">
        <v>19</v>
      </c>
      <c r="B22" s="11">
        <f>AVERAGE('Crawford Central School 26-27'!D20, 'Corry 23-24'!C21,'Mercer 26-27'!B20,'Erie School District 26-27'!C20)</f>
        <v>70958</v>
      </c>
      <c r="C22" s="11">
        <v>65958</v>
      </c>
      <c r="D22" s="11">
        <f>C22 - B22</f>
        <v>-5000</v>
      </c>
      <c r="E22" s="13">
        <f>MIN('Crawford Central School 26-27'!D20, 'Corry 23-24'!C21,'Mercer 26-27'!B20,'Erie School District 26-27'!C20)</f>
        <v>61547</v>
      </c>
      <c r="F22" s="13">
        <v>65958</v>
      </c>
      <c r="G22" s="13">
        <f>F22 - E22</f>
        <v>4411</v>
      </c>
      <c r="H22" s="15">
        <f>MAX('Crawford Central School 26-27'!D20, 'Corry 23-24'!C21,'Mercer 26-27'!B20,'Erie School District 26-27'!C20)</f>
        <v>77996</v>
      </c>
      <c r="I22" s="15">
        <v>65958</v>
      </c>
      <c r="J22" s="15">
        <f>I22 - H22</f>
        <v>-12038</v>
      </c>
    </row>
    <row r="23" spans="1:10">
      <c r="A23" s="9">
        <v>20</v>
      </c>
      <c r="B23" s="11">
        <f>AVERAGE('Crawford Central School 26-27'!D21, 'Corry 23-24'!C22,'Mercer 26-27'!B21,'Erie School District 26-27'!C21)</f>
        <v>70958</v>
      </c>
      <c r="C23" s="11">
        <v>69533</v>
      </c>
      <c r="D23" s="11">
        <f>C23 - B23</f>
        <v>-1425</v>
      </c>
      <c r="E23" s="13">
        <f>MIN('Crawford Central School 26-27'!D21, 'Corry 23-24'!C22,'Mercer 26-27'!B21,'Erie School District 26-27'!C21)</f>
        <v>61547</v>
      </c>
      <c r="F23" s="13">
        <v>69533</v>
      </c>
      <c r="G23" s="13">
        <f>F23 - E23</f>
        <v>7986</v>
      </c>
      <c r="H23" s="15">
        <f>MAX('Crawford Central School 26-27'!D21, 'Corry 23-24'!C22,'Mercer 26-27'!B21,'Erie School District 26-27'!C21)</f>
        <v>77996</v>
      </c>
      <c r="I23" s="15">
        <v>69533</v>
      </c>
      <c r="J23" s="15">
        <f>I23 - H23</f>
        <v>-8463</v>
      </c>
    </row>
    <row r="24" spans="1:10">
      <c r="A24" s="9">
        <v>21</v>
      </c>
      <c r="B24" s="11">
        <f>AVERAGE('Crawford Central School 26-27'!D22, 'Corry 23-24'!C23,'Mercer 26-27'!B22,'Erie School District 26-27'!C22)</f>
        <v>70958</v>
      </c>
      <c r="C24" s="11">
        <v>73574</v>
      </c>
      <c r="D24" s="11">
        <f>C24 - B24</f>
        <v>2616</v>
      </c>
      <c r="E24" s="13">
        <f>MIN('Crawford Central School 26-27'!D22, 'Corry 23-24'!C23,'Mercer 26-27'!B22,'Erie School District 26-27'!C22)</f>
        <v>61547</v>
      </c>
      <c r="F24" s="13">
        <v>73574</v>
      </c>
      <c r="G24" s="13">
        <f>F24 - E24</f>
        <v>12027</v>
      </c>
      <c r="H24" s="15">
        <f>MAX('Crawford Central School 26-27'!D22, 'Corry 23-24'!C23,'Mercer 26-27'!B22,'Erie School District 26-27'!C22)</f>
        <v>77996</v>
      </c>
      <c r="I24" s="15">
        <v>73574</v>
      </c>
      <c r="J24" s="15">
        <f>I24 - H24</f>
        <v>-4422</v>
      </c>
    </row>
    <row r="26" spans="1:10">
      <c r="A26" t="s">
        <v>70</v>
      </c>
    </row>
    <row r="27" spans="1:10">
      <c r="A27" s="5"/>
      <c r="B27" s="6" t="s">
        <v>60</v>
      </c>
      <c r="C27" s="5"/>
      <c r="D27" s="5"/>
      <c r="E27" s="7" t="s">
        <v>61</v>
      </c>
      <c r="F27" s="5"/>
      <c r="G27" s="5"/>
      <c r="H27" s="8" t="s">
        <v>62</v>
      </c>
      <c r="I27" s="5"/>
      <c r="J27" s="5"/>
    </row>
    <row r="28" spans="1:10">
      <c r="A28" s="9" t="s">
        <v>7</v>
      </c>
      <c r="B28" s="6" t="s">
        <v>71</v>
      </c>
      <c r="C28" s="6" t="s">
        <v>53</v>
      </c>
      <c r="D28" s="10" t="s">
        <v>64</v>
      </c>
      <c r="E28" s="7" t="s">
        <v>72</v>
      </c>
      <c r="F28" s="7" t="s">
        <v>53</v>
      </c>
      <c r="G28" s="7" t="s">
        <v>64</v>
      </c>
      <c r="H28" s="8" t="s">
        <v>73</v>
      </c>
      <c r="I28" s="8" t="s">
        <v>53</v>
      </c>
      <c r="J28" s="8" t="s">
        <v>64</v>
      </c>
    </row>
    <row r="29" spans="1:10">
      <c r="A29" s="9">
        <v>1</v>
      </c>
      <c r="B29" s="17">
        <f>AVERAGE('Crawford Central School 26-27'!F2, 'Corry 23-24'!G3,'Mercer 26-27'!C2,'Erie School District 26-27'!I2)</f>
        <v>58006.25</v>
      </c>
      <c r="C29" s="12">
        <v>0</v>
      </c>
      <c r="D29" s="18"/>
      <c r="E29" s="13">
        <f>MIN('Crawford Central School 26-27'!F2, 'Corry 23-24'!G3,'Mercer 26-27'!C2,'Erie School District 26-27'!I2)</f>
        <v>50240</v>
      </c>
      <c r="F29" s="14">
        <v>0</v>
      </c>
      <c r="G29" s="14"/>
      <c r="H29" s="15">
        <f>MAX('Crawford Central School 26-27'!F2, 'Corry 23-24'!G3,'Mercer 26-27'!C2,'Erie School District 26-27'!I2)</f>
        <v>61949</v>
      </c>
      <c r="I29" s="16">
        <v>0</v>
      </c>
      <c r="J29" s="16"/>
    </row>
    <row r="30" spans="1:10">
      <c r="A30" s="9">
        <v>2</v>
      </c>
      <c r="B30" s="17">
        <f>AVERAGE('Crawford Central School 26-27'!F3, 'Corry 23-24'!G4,'Mercer 26-27'!C3,'Erie School District 26-27'!I3)</f>
        <v>58669.25</v>
      </c>
      <c r="C30" s="12">
        <v>46749</v>
      </c>
      <c r="D30" s="19">
        <f>C30 - B30</f>
        <v>-11920.25</v>
      </c>
      <c r="E30" s="13">
        <f>MIN('Crawford Central School 26-27'!F3, 'Corry 23-24'!G4,'Mercer 26-27'!C3,'Erie School District 26-27'!I3)</f>
        <v>50705</v>
      </c>
      <c r="F30" s="14">
        <v>46749</v>
      </c>
      <c r="G30" s="13">
        <f>F30 - E30</f>
        <v>-3956</v>
      </c>
      <c r="H30" s="15">
        <f>MAX('Crawford Central School 26-27'!F3, 'Corry 23-24'!G4,'Mercer 26-27'!C3,'Erie School District 26-27'!I3)</f>
        <v>63529</v>
      </c>
      <c r="I30" s="16">
        <v>46749</v>
      </c>
      <c r="J30" s="15">
        <f>I30 - H30</f>
        <v>-16780</v>
      </c>
    </row>
    <row r="31" spans="1:10">
      <c r="A31" s="9">
        <v>3</v>
      </c>
      <c r="B31" s="17">
        <f>AVERAGE('Crawford Central School 26-27'!F4, 'Corry 23-24'!G5,'Mercer 26-27'!C4,'Erie School District 26-27'!I4)</f>
        <v>59328.75</v>
      </c>
      <c r="C31" s="12">
        <v>47349</v>
      </c>
      <c r="D31" s="19">
        <f>C31 - B31</f>
        <v>-11979.75</v>
      </c>
      <c r="E31" s="13">
        <f>MIN('Crawford Central School 26-27'!F4, 'Corry 23-24'!G5,'Mercer 26-27'!C4,'Erie School District 26-27'!I4)</f>
        <v>51156</v>
      </c>
      <c r="F31" s="14">
        <v>47349</v>
      </c>
      <c r="G31" s="13">
        <f>F31 - E31</f>
        <v>-3807</v>
      </c>
      <c r="H31" s="15">
        <f>MAX('Crawford Central School 26-27'!F4, 'Corry 23-24'!G5,'Mercer 26-27'!C4,'Erie School District 26-27'!I4)</f>
        <v>65109</v>
      </c>
      <c r="I31" s="16">
        <v>47349</v>
      </c>
      <c r="J31" s="15">
        <f>I31 - H31</f>
        <v>-17760</v>
      </c>
    </row>
    <row r="32" spans="1:10">
      <c r="A32" s="9">
        <v>4</v>
      </c>
      <c r="B32" s="17">
        <f>AVERAGE('Crawford Central School 26-27'!F5, 'Corry 23-24'!G6,'Mercer 26-27'!C5,'Erie School District 26-27'!I5)</f>
        <v>60001.75</v>
      </c>
      <c r="C32" s="12">
        <v>47949</v>
      </c>
      <c r="D32" s="19">
        <f>C32 - B32</f>
        <v>-12052.75</v>
      </c>
      <c r="E32" s="13">
        <f>MIN('Crawford Central School 26-27'!F5, 'Corry 23-24'!G6,'Mercer 26-27'!C5,'Erie School District 26-27'!I5)</f>
        <v>51661</v>
      </c>
      <c r="F32" s="14">
        <v>47949</v>
      </c>
      <c r="G32" s="13">
        <f>F32 - E32</f>
        <v>-3712</v>
      </c>
      <c r="H32" s="15">
        <f>MAX('Crawford Central School 26-27'!F5, 'Corry 23-24'!G6,'Mercer 26-27'!C5,'Erie School District 26-27'!I5)</f>
        <v>66689</v>
      </c>
      <c r="I32" s="16">
        <v>47949</v>
      </c>
      <c r="J32" s="15">
        <f>I32 - H32</f>
        <v>-18740</v>
      </c>
    </row>
    <row r="33" spans="1:10">
      <c r="A33" s="9">
        <v>5</v>
      </c>
      <c r="B33" s="17">
        <f>AVERAGE('Crawford Central School 26-27'!F6, 'Corry 23-24'!G7,'Mercer 26-27'!C6,'Erie School District 26-27'!I6)</f>
        <v>60948.5</v>
      </c>
      <c r="C33" s="12">
        <v>48949</v>
      </c>
      <c r="D33" s="19">
        <f>C33 - B33</f>
        <v>-11999.5</v>
      </c>
      <c r="E33" s="13">
        <f>MIN('Crawford Central School 26-27'!F6, 'Corry 23-24'!G7,'Mercer 26-27'!C6,'Erie School District 26-27'!I6)</f>
        <v>52116</v>
      </c>
      <c r="F33" s="14">
        <v>48949</v>
      </c>
      <c r="G33" s="13">
        <f>F33 - E33</f>
        <v>-3167</v>
      </c>
      <c r="H33" s="15">
        <f>MAX('Crawford Central School 26-27'!F6, 'Corry 23-24'!G7,'Mercer 26-27'!C6,'Erie School District 26-27'!I6)</f>
        <v>68269</v>
      </c>
      <c r="I33" s="16">
        <v>48949</v>
      </c>
      <c r="J33" s="15">
        <f>I33 - H33</f>
        <v>-19320</v>
      </c>
    </row>
    <row r="34" spans="1:10">
      <c r="A34" s="9">
        <v>6</v>
      </c>
      <c r="B34" s="17">
        <f>AVERAGE('Crawford Central School 26-27'!F7, 'Corry 23-24'!G8,'Mercer 26-27'!C7,'Erie School District 26-27'!I7)</f>
        <v>62144.25</v>
      </c>
      <c r="C34" s="12">
        <v>49949</v>
      </c>
      <c r="D34" s="19">
        <f>C34 - B34</f>
        <v>-12195.25</v>
      </c>
      <c r="E34" s="13">
        <f>MIN('Crawford Central School 26-27'!F7, 'Corry 23-24'!G8,'Mercer 26-27'!C7,'Erie School District 26-27'!I7)</f>
        <v>53567</v>
      </c>
      <c r="F34" s="14">
        <v>49949</v>
      </c>
      <c r="G34" s="13">
        <f>F34 - E34</f>
        <v>-3618</v>
      </c>
      <c r="H34" s="15">
        <f>MAX('Crawford Central School 26-27'!F7, 'Corry 23-24'!G8,'Mercer 26-27'!C7,'Erie School District 26-27'!I7)</f>
        <v>69849</v>
      </c>
      <c r="I34" s="16">
        <v>49949</v>
      </c>
      <c r="J34" s="15">
        <f>I34 - H34</f>
        <v>-19900</v>
      </c>
    </row>
    <row r="35" spans="1:10">
      <c r="A35" s="9">
        <v>7</v>
      </c>
      <c r="B35" s="17">
        <f>AVERAGE('Crawford Central School 26-27'!F8, 'Corry 23-24'!G9,'Mercer 26-27'!C8,'Erie School District 26-27'!I8)</f>
        <v>63515.25</v>
      </c>
      <c r="C35" s="12">
        <v>50999</v>
      </c>
      <c r="D35" s="19">
        <f>C35 - B35</f>
        <v>-12516.25</v>
      </c>
      <c r="E35" s="13">
        <f>MIN('Crawford Central School 26-27'!F8, 'Corry 23-24'!G9,'Mercer 26-27'!C8,'Erie School District 26-27'!I8)</f>
        <v>55070</v>
      </c>
      <c r="F35" s="14">
        <v>50999</v>
      </c>
      <c r="G35" s="13">
        <f>F35 - E35</f>
        <v>-4071</v>
      </c>
      <c r="H35" s="15">
        <f>MAX('Crawford Central School 26-27'!F8, 'Corry 23-24'!G9,'Mercer 26-27'!C8,'Erie School District 26-27'!I8)</f>
        <v>71429</v>
      </c>
      <c r="I35" s="16">
        <v>50999</v>
      </c>
      <c r="J35" s="15">
        <f>I35 - H35</f>
        <v>-20430</v>
      </c>
    </row>
    <row r="36" spans="1:10">
      <c r="A36" s="9">
        <v>8</v>
      </c>
      <c r="B36" s="17">
        <f>AVERAGE('Crawford Central School 26-27'!F9, 'Corry 23-24'!G10,'Mercer 26-27'!C9,'Erie School District 26-27'!I9)</f>
        <v>64902</v>
      </c>
      <c r="C36" s="12">
        <v>51899</v>
      </c>
      <c r="D36" s="19">
        <f>C36 - B36</f>
        <v>-13003</v>
      </c>
      <c r="E36" s="13">
        <f>MIN('Crawford Central School 26-27'!F9, 'Corry 23-24'!G10,'Mercer 26-27'!C9,'Erie School District 26-27'!I9)</f>
        <v>56650</v>
      </c>
      <c r="F36" s="14">
        <v>51899</v>
      </c>
      <c r="G36" s="13">
        <f>F36 - E36</f>
        <v>-4751</v>
      </c>
      <c r="H36" s="15">
        <f>MAX('Crawford Central School 26-27'!F9, 'Corry 23-24'!G10,'Mercer 26-27'!C9,'Erie School District 26-27'!I9)</f>
        <v>73009</v>
      </c>
      <c r="I36" s="16">
        <v>51899</v>
      </c>
      <c r="J36" s="15">
        <f>I36 - H36</f>
        <v>-21110</v>
      </c>
    </row>
    <row r="37" spans="1:10">
      <c r="A37" s="9">
        <v>9</v>
      </c>
      <c r="B37" s="17">
        <f>AVERAGE('Crawford Central School 26-27'!F10, 'Corry 23-24'!G11,'Mercer 26-27'!C10,'Erie School District 26-27'!I10)</f>
        <v>66307.5</v>
      </c>
      <c r="C37" s="12">
        <v>52699</v>
      </c>
      <c r="D37" s="19">
        <f>C37 - B37</f>
        <v>-13608.5</v>
      </c>
      <c r="E37" s="13">
        <f>MIN('Crawford Central School 26-27'!F10, 'Corry 23-24'!G11,'Mercer 26-27'!C10,'Erie School District 26-27'!I10)</f>
        <v>58304</v>
      </c>
      <c r="F37" s="14">
        <v>52699</v>
      </c>
      <c r="G37" s="13">
        <f>F37 - E37</f>
        <v>-5605</v>
      </c>
      <c r="H37" s="15">
        <f>MAX('Crawford Central School 26-27'!F10, 'Corry 23-24'!G11,'Mercer 26-27'!C10,'Erie School District 26-27'!I10)</f>
        <v>74589</v>
      </c>
      <c r="I37" s="16">
        <v>52699</v>
      </c>
      <c r="J37" s="15">
        <f>I37 - H37</f>
        <v>-21890</v>
      </c>
    </row>
    <row r="38" spans="1:10">
      <c r="A38" s="9">
        <v>10</v>
      </c>
      <c r="B38" s="17">
        <f>AVERAGE('Crawford Central School 26-27'!F11, 'Corry 23-24'!G12,'Mercer 26-27'!C11,'Erie School District 26-27'!I11)</f>
        <v>67692.75</v>
      </c>
      <c r="C38" s="12">
        <v>53549</v>
      </c>
      <c r="D38" s="19">
        <f>C38 - B38</f>
        <v>-14143.75</v>
      </c>
      <c r="E38" s="13">
        <f>MIN('Crawford Central School 26-27'!F11, 'Corry 23-24'!G12,'Mercer 26-27'!C11,'Erie School District 26-27'!I11)</f>
        <v>59883</v>
      </c>
      <c r="F38" s="14">
        <v>53549</v>
      </c>
      <c r="G38" s="13">
        <f>F38 - E38</f>
        <v>-6334</v>
      </c>
      <c r="H38" s="15">
        <f>MAX('Crawford Central School 26-27'!F11, 'Corry 23-24'!G12,'Mercer 26-27'!C11,'Erie School District 26-27'!I11)</f>
        <v>76169</v>
      </c>
      <c r="I38" s="16">
        <v>53549</v>
      </c>
      <c r="J38" s="15">
        <f>I38 - H38</f>
        <v>-22620</v>
      </c>
    </row>
    <row r="39" spans="1:10">
      <c r="A39" s="9">
        <v>11</v>
      </c>
      <c r="B39" s="17">
        <f>AVERAGE('Crawford Central School 26-27'!F12, 'Corry 23-24'!G13,'Mercer 26-27'!C12,'Erie School District 26-27'!I12)</f>
        <v>69430.75</v>
      </c>
      <c r="C39" s="12">
        <v>54299</v>
      </c>
      <c r="D39" s="19">
        <f>C39 - B39</f>
        <v>-15131.75</v>
      </c>
      <c r="E39" s="13">
        <f>MIN('Crawford Central School 26-27'!F12, 'Corry 23-24'!G13,'Mercer 26-27'!C12,'Erie School District 26-27'!I12)</f>
        <v>61462</v>
      </c>
      <c r="F39" s="14">
        <v>54299</v>
      </c>
      <c r="G39" s="13">
        <f>F39 - E39</f>
        <v>-7163</v>
      </c>
      <c r="H39" s="15">
        <f>MAX('Crawford Central School 26-27'!F12, 'Corry 23-24'!G13,'Mercer 26-27'!C12,'Erie School District 26-27'!I12)</f>
        <v>77749</v>
      </c>
      <c r="I39" s="16">
        <v>54299</v>
      </c>
      <c r="J39" s="15">
        <f>I39 - H39</f>
        <v>-23450</v>
      </c>
    </row>
    <row r="40" spans="1:10">
      <c r="A40" s="9">
        <v>12</v>
      </c>
      <c r="B40" s="17">
        <f>AVERAGE('Crawford Central School 26-27'!F13, 'Corry 23-24'!G14,'Mercer 26-27'!C13,'Erie School District 26-27'!I13)</f>
        <v>71118.5</v>
      </c>
      <c r="C40" s="12">
        <v>54949</v>
      </c>
      <c r="D40" s="19">
        <f>C40 - B40</f>
        <v>-16169.5</v>
      </c>
      <c r="E40" s="13">
        <f>MIN('Crawford Central School 26-27'!F13, 'Corry 23-24'!G14,'Mercer 26-27'!C13,'Erie School District 26-27'!I13)</f>
        <v>63041</v>
      </c>
      <c r="F40" s="14">
        <v>54949</v>
      </c>
      <c r="G40" s="13">
        <f>F40 - E40</f>
        <v>-8092</v>
      </c>
      <c r="H40" s="15">
        <f>MAX('Crawford Central School 26-27'!F13, 'Corry 23-24'!G14,'Mercer 26-27'!C13,'Erie School District 26-27'!I13)</f>
        <v>79329</v>
      </c>
      <c r="I40" s="16">
        <v>54949</v>
      </c>
      <c r="J40" s="15">
        <f>I40 - H40</f>
        <v>-24380</v>
      </c>
    </row>
    <row r="41" spans="1:10">
      <c r="A41" s="9">
        <v>13</v>
      </c>
      <c r="B41" s="17">
        <f>AVERAGE('Crawford Central School 26-27'!F14, 'Corry 23-24'!G15,'Mercer 26-27'!C14,'Erie School District 26-27'!I14)</f>
        <v>72831.5</v>
      </c>
      <c r="C41" s="12">
        <v>55699</v>
      </c>
      <c r="D41" s="19">
        <f>C41 - B41</f>
        <v>-17132.5</v>
      </c>
      <c r="E41" s="13">
        <f>MIN('Crawford Central School 26-27'!F14, 'Corry 23-24'!G15,'Mercer 26-27'!C14,'Erie School District 26-27'!I14)</f>
        <v>64620</v>
      </c>
      <c r="F41" s="14">
        <v>55699</v>
      </c>
      <c r="G41" s="13">
        <f>F41 - E41</f>
        <v>-8921</v>
      </c>
      <c r="H41" s="15">
        <f>MAX('Crawford Central School 26-27'!F14, 'Corry 23-24'!G15,'Mercer 26-27'!C14,'Erie School District 26-27'!I14)</f>
        <v>80909</v>
      </c>
      <c r="I41" s="16">
        <v>55699</v>
      </c>
      <c r="J41" s="15">
        <f>I41 - H41</f>
        <v>-25210</v>
      </c>
    </row>
    <row r="42" spans="1:10">
      <c r="A42" s="9">
        <v>14</v>
      </c>
      <c r="B42" s="17">
        <f>AVERAGE('Crawford Central School 26-27'!F15, 'Corry 23-24'!G16,'Mercer 26-27'!C15,'Erie School District 26-27'!I15)</f>
        <v>74794.5</v>
      </c>
      <c r="C42" s="12">
        <v>56699</v>
      </c>
      <c r="D42" s="19">
        <f>C42 - B42</f>
        <v>-18095.5</v>
      </c>
      <c r="E42" s="13">
        <f>MIN('Crawford Central School 26-27'!F15, 'Corry 23-24'!G16,'Mercer 26-27'!C15,'Erie School District 26-27'!I15)</f>
        <v>66199</v>
      </c>
      <c r="F42" s="14">
        <v>56699</v>
      </c>
      <c r="G42" s="13">
        <f>F42 - E42</f>
        <v>-9500</v>
      </c>
      <c r="H42" s="15">
        <f>MAX('Crawford Central School 26-27'!F15, 'Corry 23-24'!G16,'Mercer 26-27'!C15,'Erie School District 26-27'!I15)</f>
        <v>82489</v>
      </c>
      <c r="I42" s="16">
        <v>56699</v>
      </c>
      <c r="J42" s="15">
        <f>I42 - H42</f>
        <v>-25790</v>
      </c>
    </row>
    <row r="43" spans="1:10">
      <c r="A43" s="9">
        <v>15</v>
      </c>
      <c r="B43" s="17">
        <f>AVERAGE('Crawford Central School 26-27'!F16, 'Corry 23-24'!G17,'Mercer 26-27'!C16,'Erie School District 26-27'!I16)</f>
        <v>75983</v>
      </c>
      <c r="C43" s="12">
        <v>57999</v>
      </c>
      <c r="D43" s="19">
        <f>C43 - B43</f>
        <v>-17984</v>
      </c>
      <c r="E43" s="13">
        <f>MIN('Crawford Central School 26-27'!F16, 'Corry 23-24'!G17,'Mercer 26-27'!C16,'Erie School District 26-27'!I16)</f>
        <v>67921</v>
      </c>
      <c r="F43" s="14">
        <v>57999</v>
      </c>
      <c r="G43" s="13">
        <f>F43 - E43</f>
        <v>-9922</v>
      </c>
      <c r="H43" s="15">
        <f>MAX('Crawford Central School 26-27'!F16, 'Corry 23-24'!G17,'Mercer 26-27'!C16,'Erie School District 26-27'!I16)</f>
        <v>84069</v>
      </c>
      <c r="I43" s="16">
        <v>57999</v>
      </c>
      <c r="J43" s="15">
        <f>I43 - H43</f>
        <v>-26070</v>
      </c>
    </row>
    <row r="44" spans="1:10">
      <c r="A44" s="9">
        <v>16</v>
      </c>
      <c r="B44" s="17">
        <f>AVERAGE('Crawford Central School 26-27'!F17, 'Corry 23-24'!G18,'Mercer 26-27'!C17,'Erie School District 26-27'!I17)</f>
        <v>76975.5</v>
      </c>
      <c r="C44" s="12">
        <v>59299</v>
      </c>
      <c r="D44" s="19">
        <f>C44 - B44</f>
        <v>-17676.5</v>
      </c>
      <c r="E44" s="13">
        <f>MIN('Crawford Central School 26-27'!F17, 'Corry 23-24'!G18,'Mercer 26-27'!C17,'Erie School District 26-27'!I17)</f>
        <v>70440</v>
      </c>
      <c r="F44" s="14">
        <v>59299</v>
      </c>
      <c r="G44" s="13">
        <f>F44 - E44</f>
        <v>-11141</v>
      </c>
      <c r="H44" s="15">
        <f>MAX('Crawford Central School 26-27'!F17, 'Corry 23-24'!G18,'Mercer 26-27'!C17,'Erie School District 26-27'!I17)</f>
        <v>84069</v>
      </c>
      <c r="I44" s="16">
        <v>59299</v>
      </c>
      <c r="J44" s="15">
        <f>I44 - H44</f>
        <v>-24770</v>
      </c>
    </row>
    <row r="45" spans="1:10">
      <c r="A45" s="9">
        <v>17</v>
      </c>
      <c r="B45" s="17">
        <f>AVERAGE('Crawford Central School 26-27'!F18, 'Corry 23-24'!G19,'Mercer 26-27'!C18,'Erie School District 26-27'!I18)</f>
        <v>77338.5</v>
      </c>
      <c r="C45" s="12">
        <v>60849</v>
      </c>
      <c r="D45" s="19">
        <f>C45 - B45</f>
        <v>-16489.5</v>
      </c>
      <c r="E45" s="13">
        <f>MIN('Crawford Central School 26-27'!F18, 'Corry 23-24'!G19,'Mercer 26-27'!C18,'Erie School District 26-27'!I18)</f>
        <v>70440</v>
      </c>
      <c r="F45" s="14">
        <v>60849</v>
      </c>
      <c r="G45" s="13">
        <f>F45 - E45</f>
        <v>-9591</v>
      </c>
      <c r="H45" s="15">
        <f>MAX('Crawford Central School 26-27'!F18, 'Corry 23-24'!G19,'Mercer 26-27'!C18,'Erie School District 26-27'!I18)</f>
        <v>84069</v>
      </c>
      <c r="I45" s="16">
        <v>60849</v>
      </c>
      <c r="J45" s="15">
        <f>I45 - H45</f>
        <v>-23220</v>
      </c>
    </row>
    <row r="46" spans="1:10">
      <c r="A46" s="9">
        <v>18</v>
      </c>
      <c r="B46" s="17">
        <f>AVERAGE('Crawford Central School 26-27'!F19, 'Corry 23-24'!G20,'Mercer 26-27'!C19,'Erie School District 26-27'!I19)</f>
        <v>77701.5</v>
      </c>
      <c r="C46" s="12">
        <v>63449</v>
      </c>
      <c r="D46" s="19">
        <f>C46 - B46</f>
        <v>-14252.5</v>
      </c>
      <c r="E46" s="13">
        <f>MIN('Crawford Central School 26-27'!F19, 'Corry 23-24'!G20,'Mercer 26-27'!C19,'Erie School District 26-27'!I19)</f>
        <v>70440</v>
      </c>
      <c r="F46" s="14">
        <v>63449</v>
      </c>
      <c r="G46" s="13">
        <f>F46 - E46</f>
        <v>-6991</v>
      </c>
      <c r="H46" s="15">
        <f>MAX('Crawford Central School 26-27'!F19, 'Corry 23-24'!G20,'Mercer 26-27'!C19,'Erie School District 26-27'!I19)</f>
        <v>84069</v>
      </c>
      <c r="I46" s="16">
        <v>63449</v>
      </c>
      <c r="J46" s="15">
        <f>I46 - H46</f>
        <v>-20620</v>
      </c>
    </row>
    <row r="47" spans="1:10">
      <c r="A47" s="9">
        <v>19</v>
      </c>
      <c r="B47" s="17">
        <f>AVERAGE('Crawford Central School 26-27'!F20, 'Corry 23-24'!G21,'Mercer 26-27'!C20,'Erie School District 26-27'!I20)</f>
        <v>77701.5</v>
      </c>
      <c r="C47" s="12">
        <v>67499</v>
      </c>
      <c r="D47" s="19">
        <f>C47 - B47</f>
        <v>-10202.5</v>
      </c>
      <c r="E47" s="13">
        <f>MIN('Crawford Central School 26-27'!F20, 'Corry 23-24'!G21,'Mercer 26-27'!C20,'Erie School District 26-27'!I20)</f>
        <v>70440</v>
      </c>
      <c r="F47" s="14">
        <v>67499</v>
      </c>
      <c r="G47" s="13">
        <f>F47 - E47</f>
        <v>-2941</v>
      </c>
      <c r="H47" s="15">
        <f>MAX('Crawford Central School 26-27'!F20, 'Corry 23-24'!G21,'Mercer 26-27'!C20,'Erie School District 26-27'!I20)</f>
        <v>84069</v>
      </c>
      <c r="I47" s="16">
        <v>67499</v>
      </c>
      <c r="J47" s="15">
        <f>I47 - H47</f>
        <v>-16570</v>
      </c>
    </row>
    <row r="48" spans="1:10">
      <c r="A48" s="9">
        <v>20</v>
      </c>
      <c r="B48" s="17">
        <f>AVERAGE('Crawford Central School 26-27'!F21, 'Corry 23-24'!G22,'Mercer 26-27'!C21,'Erie School District 26-27'!I21)</f>
        <v>77701.5</v>
      </c>
      <c r="C48" s="12">
        <v>71074</v>
      </c>
      <c r="D48" s="19">
        <f>C48 - B48</f>
        <v>-6627.5</v>
      </c>
      <c r="E48" s="13">
        <f>MIN('Crawford Central School 26-27'!F21, 'Corry 23-24'!G22,'Mercer 26-27'!C21,'Erie School District 26-27'!I21)</f>
        <v>70440</v>
      </c>
      <c r="F48" s="14">
        <v>71074</v>
      </c>
      <c r="G48" s="13">
        <f>F48 - E48</f>
        <v>634</v>
      </c>
      <c r="H48" s="15">
        <f>MAX('Crawford Central School 26-27'!F21, 'Corry 23-24'!G22,'Mercer 26-27'!C21,'Erie School District 26-27'!I21)</f>
        <v>84069</v>
      </c>
      <c r="I48" s="16">
        <v>71074</v>
      </c>
      <c r="J48" s="15">
        <f>I48 - H48</f>
        <v>-12995</v>
      </c>
    </row>
    <row r="49" spans="1:10">
      <c r="A49" s="9">
        <v>21</v>
      </c>
      <c r="B49" s="17">
        <f>AVERAGE('Crawford Central School 26-27'!F22, 'Corry 23-24'!G23,'Mercer 26-27'!C22,'Erie School District 26-27'!I22)</f>
        <v>77701.5</v>
      </c>
      <c r="C49" s="12">
        <v>75615</v>
      </c>
      <c r="D49" s="19">
        <f>C49 - B49</f>
        <v>-2086.5</v>
      </c>
      <c r="E49" s="13">
        <f>MIN('Crawford Central School 26-27'!F22, 'Corry 23-24'!G23,'Mercer 26-27'!C22,'Erie School District 26-27'!I22)</f>
        <v>70440</v>
      </c>
      <c r="F49" s="14">
        <v>75615</v>
      </c>
      <c r="G49" s="13">
        <f>F49 - E49</f>
        <v>5175</v>
      </c>
      <c r="H49" s="15">
        <f>MAX('Crawford Central School 26-27'!F22, 'Corry 23-24'!G23,'Mercer 26-27'!C22,'Erie School District 26-27'!I22)</f>
        <v>84069</v>
      </c>
      <c r="I49" s="16">
        <v>75615</v>
      </c>
      <c r="J49" s="15">
        <f>I49 - H49</f>
        <v>-8454</v>
      </c>
    </row>
    <row r="51" spans="1:10">
      <c r="A51" t="s">
        <v>74</v>
      </c>
    </row>
    <row r="52" spans="1:10">
      <c r="A52" s="5"/>
      <c r="B52" s="6" t="s">
        <v>60</v>
      </c>
      <c r="C52" s="5"/>
      <c r="D52" s="5"/>
      <c r="E52" s="7" t="s">
        <v>61</v>
      </c>
      <c r="F52" s="5"/>
      <c r="G52" s="5"/>
      <c r="H52" s="8" t="s">
        <v>62</v>
      </c>
      <c r="I52" s="5"/>
      <c r="J52" s="5"/>
    </row>
    <row r="53" spans="1:10">
      <c r="A53" s="9" t="s">
        <v>7</v>
      </c>
      <c r="B53" s="6" t="s">
        <v>75</v>
      </c>
      <c r="C53" s="6" t="s">
        <v>53</v>
      </c>
      <c r="D53" s="10" t="s">
        <v>64</v>
      </c>
      <c r="E53" s="7" t="s">
        <v>76</v>
      </c>
      <c r="F53" s="7" t="s">
        <v>53</v>
      </c>
      <c r="G53" s="7" t="s">
        <v>64</v>
      </c>
      <c r="H53" s="8" t="s">
        <v>77</v>
      </c>
      <c r="I53" s="8" t="s">
        <v>53</v>
      </c>
      <c r="J53" s="8" t="s">
        <v>64</v>
      </c>
    </row>
    <row r="54" spans="1:10">
      <c r="A54" s="9">
        <v>1</v>
      </c>
      <c r="B54" s="17">
        <f>AVERAGE('Crawford Central School 26-27'!G2, 'Corry 23-24'!H3,'Mercer 26-27'!D2,'Erie School District 26-27'!L2)</f>
        <v>60101.75</v>
      </c>
      <c r="C54" s="12">
        <v>0</v>
      </c>
      <c r="D54" s="18"/>
      <c r="E54" s="13">
        <f>MIN('Crawford Central School 26-27'!G2, 'Corry 23-24'!H3,'Mercer 26-27'!D2,'Erie School District 26-27'!L2)</f>
        <v>51540</v>
      </c>
      <c r="F54" s="14">
        <v>0</v>
      </c>
      <c r="G54" s="14"/>
      <c r="H54" s="15">
        <f>MAX('Crawford Central School 26-27'!G2, 'Corry 23-24'!H3,'Mercer 26-27'!D2,'Erie School District 26-27'!L2)</f>
        <v>64538</v>
      </c>
      <c r="I54" s="16">
        <v>0</v>
      </c>
      <c r="J54" s="16"/>
    </row>
    <row r="55" spans="1:10">
      <c r="A55" s="9">
        <v>2</v>
      </c>
      <c r="B55" s="17">
        <f>AVERAGE('Crawford Central School 26-27'!G3, 'Corry 23-24'!H4,'Mercer 26-27'!D3,'Erie School District 26-27'!L3)</f>
        <v>60766</v>
      </c>
      <c r="C55" s="12">
        <v>47749</v>
      </c>
      <c r="D55" s="19">
        <f>C55 - B55</f>
        <v>-13017</v>
      </c>
      <c r="E55" s="13">
        <f>MIN('Crawford Central School 26-27'!G3, 'Corry 23-24'!H4,'Mercer 26-27'!D3,'Erie School District 26-27'!L3)</f>
        <v>52010</v>
      </c>
      <c r="F55" s="14">
        <v>47749</v>
      </c>
      <c r="G55" s="13">
        <f>F55 - E55</f>
        <v>-4261</v>
      </c>
      <c r="H55" s="15">
        <f>MAX('Crawford Central School 26-27'!G3, 'Corry 23-24'!H4,'Mercer 26-27'!D3,'Erie School District 26-27'!L3)</f>
        <v>65015</v>
      </c>
      <c r="I55" s="16">
        <v>47749</v>
      </c>
      <c r="J55" s="15">
        <f>I55 - H55</f>
        <v>-17266</v>
      </c>
    </row>
    <row r="56" spans="1:10">
      <c r="A56" s="9">
        <v>3</v>
      </c>
      <c r="B56" s="17">
        <f>AVERAGE('Crawford Central School 26-27'!G4, 'Corry 23-24'!H5,'Mercer 26-27'!D4,'Erie School District 26-27'!L4)</f>
        <v>61426.75</v>
      </c>
      <c r="C56" s="12">
        <v>48349</v>
      </c>
      <c r="D56" s="19">
        <f>C56 - B56</f>
        <v>-13077.75</v>
      </c>
      <c r="E56" s="13">
        <f>MIN('Crawford Central School 26-27'!G4, 'Corry 23-24'!H5,'Mercer 26-27'!D4,'Erie School District 26-27'!L4)</f>
        <v>52466</v>
      </c>
      <c r="F56" s="14">
        <v>48349</v>
      </c>
      <c r="G56" s="13">
        <f>F56 - E56</f>
        <v>-4117</v>
      </c>
      <c r="H56" s="15">
        <f>MAX('Crawford Central School 26-27'!G4, 'Corry 23-24'!H5,'Mercer 26-27'!D4,'Erie School District 26-27'!L4)</f>
        <v>66595</v>
      </c>
      <c r="I56" s="16">
        <v>48349</v>
      </c>
      <c r="J56" s="15">
        <f>I56 - H56</f>
        <v>-18246</v>
      </c>
    </row>
    <row r="57" spans="1:10">
      <c r="A57" s="9">
        <v>4</v>
      </c>
      <c r="B57" s="17">
        <f>AVERAGE('Crawford Central School 26-27'!G5, 'Corry 23-24'!H6,'Mercer 26-27'!D5,'Erie School District 26-27'!L5)</f>
        <v>62101</v>
      </c>
      <c r="C57" s="12">
        <v>48949</v>
      </c>
      <c r="D57" s="19">
        <f>C57 - B57</f>
        <v>-13152</v>
      </c>
      <c r="E57" s="13">
        <f>MIN('Crawford Central School 26-27'!G5, 'Corry 23-24'!H6,'Mercer 26-27'!D5,'Erie School District 26-27'!L5)</f>
        <v>52976</v>
      </c>
      <c r="F57" s="14">
        <v>48949</v>
      </c>
      <c r="G57" s="13">
        <f>F57 - E57</f>
        <v>-4027</v>
      </c>
      <c r="H57" s="15">
        <f>MAX('Crawford Central School 26-27'!G5, 'Corry 23-24'!H6,'Mercer 26-27'!D5,'Erie School District 26-27'!L5)</f>
        <v>68175</v>
      </c>
      <c r="I57" s="16">
        <v>48949</v>
      </c>
      <c r="J57" s="15">
        <f>I57 - H57</f>
        <v>-19226</v>
      </c>
    </row>
    <row r="58" spans="1:10">
      <c r="A58" s="9">
        <v>5</v>
      </c>
      <c r="B58" s="17">
        <f>AVERAGE('Crawford Central School 26-27'!G6, 'Corry 23-24'!H7,'Mercer 26-27'!D6,'Erie School District 26-27'!L6)</f>
        <v>63297.5</v>
      </c>
      <c r="C58" s="12">
        <v>49949</v>
      </c>
      <c r="D58" s="19">
        <f>C58 - B58</f>
        <v>-13348.5</v>
      </c>
      <c r="E58" s="13">
        <f>MIN('Crawford Central School 26-27'!G6, 'Corry 23-24'!H7,'Mercer 26-27'!D6,'Erie School District 26-27'!L6)</f>
        <v>53431</v>
      </c>
      <c r="F58" s="14">
        <v>49949</v>
      </c>
      <c r="G58" s="13">
        <f>F58 - E58</f>
        <v>-3482</v>
      </c>
      <c r="H58" s="15">
        <f>MAX('Crawford Central School 26-27'!G6, 'Corry 23-24'!H7,'Mercer 26-27'!D6,'Erie School District 26-27'!L6)</f>
        <v>69755</v>
      </c>
      <c r="I58" s="16">
        <v>49949</v>
      </c>
      <c r="J58" s="15">
        <f>I58 - H58</f>
        <v>-19806</v>
      </c>
    </row>
    <row r="59" spans="1:10">
      <c r="A59" s="9">
        <v>6</v>
      </c>
      <c r="B59" s="17">
        <f>AVERAGE('Crawford Central School 26-27'!G7, 'Corry 23-24'!H8,'Mercer 26-27'!D7,'Erie School District 26-27'!L7)</f>
        <v>64458.25</v>
      </c>
      <c r="C59" s="12">
        <v>50949</v>
      </c>
      <c r="D59" s="19">
        <f>C59 - B59</f>
        <v>-13509.25</v>
      </c>
      <c r="E59" s="13">
        <f>MIN('Crawford Central School 26-27'!G7, 'Corry 23-24'!H8,'Mercer 26-27'!D7,'Erie School District 26-27'!L7)</f>
        <v>54942</v>
      </c>
      <c r="F59" s="14">
        <v>50949</v>
      </c>
      <c r="G59" s="13">
        <f>F59 - E59</f>
        <v>-3993</v>
      </c>
      <c r="H59" s="15">
        <f>MAX('Crawford Central School 26-27'!G7, 'Corry 23-24'!H8,'Mercer 26-27'!D7,'Erie School District 26-27'!L7)</f>
        <v>71335</v>
      </c>
      <c r="I59" s="16">
        <v>50949</v>
      </c>
      <c r="J59" s="15">
        <f>I59 - H59</f>
        <v>-20386</v>
      </c>
    </row>
    <row r="60" spans="1:10">
      <c r="A60" s="9">
        <v>7</v>
      </c>
      <c r="B60" s="17">
        <f>AVERAGE('Crawford Central School 26-27'!G8, 'Corry 23-24'!H9,'Mercer 26-27'!D8,'Erie School District 26-27'!L8)</f>
        <v>65629.5</v>
      </c>
      <c r="C60" s="12">
        <v>51999</v>
      </c>
      <c r="D60" s="19">
        <f>C60 - B60</f>
        <v>-13630.5</v>
      </c>
      <c r="E60" s="13">
        <f>MIN('Crawford Central School 26-27'!G8, 'Corry 23-24'!H9,'Mercer 26-27'!D8,'Erie School District 26-27'!L8)</f>
        <v>56445</v>
      </c>
      <c r="F60" s="14">
        <v>51999</v>
      </c>
      <c r="G60" s="13">
        <f>F60 - E60</f>
        <v>-4446</v>
      </c>
      <c r="H60" s="15">
        <f>MAX('Crawford Central School 26-27'!G8, 'Corry 23-24'!H9,'Mercer 26-27'!D8,'Erie School District 26-27'!L8)</f>
        <v>72915</v>
      </c>
      <c r="I60" s="16">
        <v>51999</v>
      </c>
      <c r="J60" s="15">
        <f>I60 - H60</f>
        <v>-20916</v>
      </c>
    </row>
    <row r="61" spans="1:10">
      <c r="A61" s="9">
        <v>8</v>
      </c>
      <c r="B61" s="17">
        <f>AVERAGE('Crawford Central School 26-27'!G9, 'Corry 23-24'!H10,'Mercer 26-27'!D9,'Erie School District 26-27'!L9)</f>
        <v>67016.25</v>
      </c>
      <c r="C61" s="12">
        <v>52899</v>
      </c>
      <c r="D61" s="19">
        <f>C61 - B61</f>
        <v>-14117.25</v>
      </c>
      <c r="E61" s="13">
        <f>MIN('Crawford Central School 26-27'!G9, 'Corry 23-24'!H10,'Mercer 26-27'!D9,'Erie School District 26-27'!L9)</f>
        <v>58025</v>
      </c>
      <c r="F61" s="14">
        <v>52899</v>
      </c>
      <c r="G61" s="13">
        <f>F61 - E61</f>
        <v>-5126</v>
      </c>
      <c r="H61" s="15">
        <f>MAX('Crawford Central School 26-27'!G9, 'Corry 23-24'!H10,'Mercer 26-27'!D9,'Erie School District 26-27'!L9)</f>
        <v>74495</v>
      </c>
      <c r="I61" s="16">
        <v>52899</v>
      </c>
      <c r="J61" s="15">
        <f>I61 - H61</f>
        <v>-21596</v>
      </c>
    </row>
    <row r="62" spans="1:10">
      <c r="A62" s="9">
        <v>9</v>
      </c>
      <c r="B62" s="17">
        <f>AVERAGE('Crawford Central School 26-27'!G10, 'Corry 23-24'!H11,'Mercer 26-27'!D10,'Erie School District 26-27'!L10)</f>
        <v>68424.25</v>
      </c>
      <c r="C62" s="12">
        <v>53699</v>
      </c>
      <c r="D62" s="19">
        <f>C62 - B62</f>
        <v>-14725.25</v>
      </c>
      <c r="E62" s="13">
        <f>MIN('Crawford Central School 26-27'!G10, 'Corry 23-24'!H11,'Mercer 26-27'!D10,'Erie School District 26-27'!L10)</f>
        <v>59679</v>
      </c>
      <c r="F62" s="14">
        <v>53699</v>
      </c>
      <c r="G62" s="13">
        <f>F62 - E62</f>
        <v>-5980</v>
      </c>
      <c r="H62" s="15">
        <f>MAX('Crawford Central School 26-27'!G10, 'Corry 23-24'!H11,'Mercer 26-27'!D10,'Erie School District 26-27'!L10)</f>
        <v>76075</v>
      </c>
      <c r="I62" s="16">
        <v>53699</v>
      </c>
      <c r="J62" s="15">
        <f>I62 - H62</f>
        <v>-22376</v>
      </c>
    </row>
    <row r="63" spans="1:10">
      <c r="A63" s="9">
        <v>10</v>
      </c>
      <c r="B63" s="17">
        <f>AVERAGE('Crawford Central School 26-27'!G11, 'Corry 23-24'!H12,'Mercer 26-27'!D11,'Erie School District 26-27'!L11)</f>
        <v>69806.75</v>
      </c>
      <c r="C63" s="12">
        <v>54549</v>
      </c>
      <c r="D63" s="19">
        <f>C63 - B63</f>
        <v>-15257.75</v>
      </c>
      <c r="E63" s="13">
        <f>MIN('Crawford Central School 26-27'!G11, 'Corry 23-24'!H12,'Mercer 26-27'!D11,'Erie School District 26-27'!L11)</f>
        <v>61258</v>
      </c>
      <c r="F63" s="14">
        <v>54549</v>
      </c>
      <c r="G63" s="13">
        <f>F63 - E63</f>
        <v>-6709</v>
      </c>
      <c r="H63" s="15">
        <f>MAX('Crawford Central School 26-27'!G11, 'Corry 23-24'!H12,'Mercer 26-27'!D11,'Erie School District 26-27'!L11)</f>
        <v>77655</v>
      </c>
      <c r="I63" s="16">
        <v>54549</v>
      </c>
      <c r="J63" s="15">
        <f>I63 - H63</f>
        <v>-23106</v>
      </c>
    </row>
    <row r="64" spans="1:10">
      <c r="A64" s="9">
        <v>11</v>
      </c>
      <c r="B64" s="17">
        <f>AVERAGE('Crawford Central School 26-27'!G12, 'Corry 23-24'!H13,'Mercer 26-27'!D12,'Erie School District 26-27'!L12)</f>
        <v>71520</v>
      </c>
      <c r="C64" s="12">
        <v>55299</v>
      </c>
      <c r="D64" s="19">
        <f>C64 - B64</f>
        <v>-16221</v>
      </c>
      <c r="E64" s="13">
        <f>MIN('Crawford Central School 26-27'!G12, 'Corry 23-24'!H13,'Mercer 26-27'!D12,'Erie School District 26-27'!L12)</f>
        <v>62838</v>
      </c>
      <c r="F64" s="14">
        <v>55299</v>
      </c>
      <c r="G64" s="13">
        <f>F64 - E64</f>
        <v>-7539</v>
      </c>
      <c r="H64" s="15">
        <f>MAX('Crawford Central School 26-27'!G12, 'Corry 23-24'!H13,'Mercer 26-27'!D12,'Erie School District 26-27'!L12)</f>
        <v>79235</v>
      </c>
      <c r="I64" s="16">
        <v>55299</v>
      </c>
      <c r="J64" s="15">
        <f>I64 - H64</f>
        <v>-23936</v>
      </c>
    </row>
    <row r="65" spans="1:10">
      <c r="A65" s="9">
        <v>12</v>
      </c>
      <c r="B65" s="17">
        <f>AVERAGE('Crawford Central School 26-27'!G13, 'Corry 23-24'!H14,'Mercer 26-27'!D13,'Erie School District 26-27'!L13)</f>
        <v>73232.75</v>
      </c>
      <c r="C65" s="12">
        <v>55949</v>
      </c>
      <c r="D65" s="19">
        <f>C65 - B65</f>
        <v>-17283.75</v>
      </c>
      <c r="E65" s="13">
        <f>MIN('Crawford Central School 26-27'!G13, 'Corry 23-24'!H14,'Mercer 26-27'!D13,'Erie School District 26-27'!L13)</f>
        <v>64416</v>
      </c>
      <c r="F65" s="14">
        <v>55949</v>
      </c>
      <c r="G65" s="13">
        <f>F65 - E65</f>
        <v>-8467</v>
      </c>
      <c r="H65" s="15">
        <f>MAX('Crawford Central School 26-27'!G13, 'Corry 23-24'!H14,'Mercer 26-27'!D13,'Erie School District 26-27'!L13)</f>
        <v>80815</v>
      </c>
      <c r="I65" s="16">
        <v>55949</v>
      </c>
      <c r="J65" s="15">
        <f>I65 - H65</f>
        <v>-24866</v>
      </c>
    </row>
    <row r="66" spans="1:10">
      <c r="A66" s="9">
        <v>13</v>
      </c>
      <c r="B66" s="17">
        <f>AVERAGE('Crawford Central School 26-27'!G14, 'Corry 23-24'!H15,'Mercer 26-27'!D14,'Erie School District 26-27'!L14)</f>
        <v>74945.75</v>
      </c>
      <c r="C66" s="12">
        <v>56699</v>
      </c>
      <c r="D66" s="19">
        <f>C66 - B66</f>
        <v>-18246.75</v>
      </c>
      <c r="E66" s="13">
        <f>MIN('Crawford Central School 26-27'!G14, 'Corry 23-24'!H15,'Mercer 26-27'!D14,'Erie School District 26-27'!L14)</f>
        <v>65995</v>
      </c>
      <c r="F66" s="14">
        <v>56699</v>
      </c>
      <c r="G66" s="13">
        <f>F66 - E66</f>
        <v>-9296</v>
      </c>
      <c r="H66" s="15">
        <f>MAX('Crawford Central School 26-27'!G14, 'Corry 23-24'!H15,'Mercer 26-27'!D14,'Erie School District 26-27'!L14)</f>
        <v>82395</v>
      </c>
      <c r="I66" s="16">
        <v>56699</v>
      </c>
      <c r="J66" s="15">
        <f>I66 - H66</f>
        <v>-25696</v>
      </c>
    </row>
    <row r="67" spans="1:10">
      <c r="A67" s="9">
        <v>14</v>
      </c>
      <c r="B67" s="17">
        <f>AVERAGE('Crawford Central School 26-27'!G15, 'Corry 23-24'!H16,'Mercer 26-27'!D15,'Erie School District 26-27'!L15)</f>
        <v>76658.5</v>
      </c>
      <c r="C67" s="12">
        <v>57699</v>
      </c>
      <c r="D67" s="19">
        <f>C67 - B67</f>
        <v>-18959.5</v>
      </c>
      <c r="E67" s="13">
        <f>MIN('Crawford Central School 26-27'!G15, 'Corry 23-24'!H16,'Mercer 26-27'!D15,'Erie School District 26-27'!L15)</f>
        <v>67574</v>
      </c>
      <c r="F67" s="14">
        <v>57699</v>
      </c>
      <c r="G67" s="13">
        <f>F67 - E67</f>
        <v>-9875</v>
      </c>
      <c r="H67" s="15">
        <f>MAX('Crawford Central School 26-27'!G15, 'Corry 23-24'!H16,'Mercer 26-27'!D15,'Erie School District 26-27'!L15)</f>
        <v>83975</v>
      </c>
      <c r="I67" s="16">
        <v>57699</v>
      </c>
      <c r="J67" s="15">
        <f>I67 - H67</f>
        <v>-26276</v>
      </c>
    </row>
    <row r="68" spans="1:10">
      <c r="A68" s="9">
        <v>15</v>
      </c>
      <c r="B68" s="17">
        <f>AVERAGE('Crawford Central School 26-27'!G16, 'Corry 23-24'!H17,'Mercer 26-27'!D16,'Erie School District 26-27'!L16)</f>
        <v>77847</v>
      </c>
      <c r="C68" s="12">
        <v>58999</v>
      </c>
      <c r="D68" s="19">
        <f>C68 - B68</f>
        <v>-18848</v>
      </c>
      <c r="E68" s="13">
        <f>MIN('Crawford Central School 26-27'!G16, 'Corry 23-24'!H17,'Mercer 26-27'!D16,'Erie School District 26-27'!L16)</f>
        <v>69296</v>
      </c>
      <c r="F68" s="14">
        <v>58999</v>
      </c>
      <c r="G68" s="13">
        <f>F68 - E68</f>
        <v>-10297</v>
      </c>
      <c r="H68" s="15">
        <f>MAX('Crawford Central School 26-27'!G16, 'Corry 23-24'!H17,'Mercer 26-27'!D16,'Erie School District 26-27'!L16)</f>
        <v>85555</v>
      </c>
      <c r="I68" s="16">
        <v>58999</v>
      </c>
      <c r="J68" s="15">
        <f>I68 - H68</f>
        <v>-26556</v>
      </c>
    </row>
    <row r="69" spans="1:10">
      <c r="A69" s="9">
        <v>16</v>
      </c>
      <c r="B69" s="17">
        <f>AVERAGE('Crawford Central School 26-27'!G17, 'Corry 23-24'!H18,'Mercer 26-27'!D17,'Erie School District 26-27'!L17)</f>
        <v>78839.75</v>
      </c>
      <c r="C69" s="12">
        <v>60299</v>
      </c>
      <c r="D69" s="19">
        <f>C69 - B69</f>
        <v>-18540.75</v>
      </c>
      <c r="E69" s="13">
        <f>MIN('Crawford Central School 26-27'!G17, 'Corry 23-24'!H18,'Mercer 26-27'!D17,'Erie School District 26-27'!L17)</f>
        <v>71815</v>
      </c>
      <c r="F69" s="14">
        <v>60299</v>
      </c>
      <c r="G69" s="13">
        <f>F69 - E69</f>
        <v>-11516</v>
      </c>
      <c r="H69" s="15">
        <f>MAX('Crawford Central School 26-27'!G17, 'Corry 23-24'!H18,'Mercer 26-27'!D17,'Erie School District 26-27'!L17)</f>
        <v>85555</v>
      </c>
      <c r="I69" s="16">
        <v>60299</v>
      </c>
      <c r="J69" s="15">
        <f>I69 - H69</f>
        <v>-25256</v>
      </c>
    </row>
    <row r="70" spans="1:10">
      <c r="A70" s="9">
        <v>17</v>
      </c>
      <c r="B70" s="17">
        <f>AVERAGE('Crawford Central School 26-27'!G18, 'Corry 23-24'!H19,'Mercer 26-27'!D18,'Erie School District 26-27'!L18)</f>
        <v>79202.75</v>
      </c>
      <c r="C70" s="12">
        <v>61849</v>
      </c>
      <c r="D70" s="19">
        <f>C70 - B70</f>
        <v>-17353.75</v>
      </c>
      <c r="E70" s="13">
        <f>MIN('Crawford Central School 26-27'!G18, 'Corry 23-24'!H19,'Mercer 26-27'!D18,'Erie School District 26-27'!L18)</f>
        <v>71815</v>
      </c>
      <c r="F70" s="14">
        <v>61849</v>
      </c>
      <c r="G70" s="13">
        <f>F70 - E70</f>
        <v>-9966</v>
      </c>
      <c r="H70" s="15">
        <f>MAX('Crawford Central School 26-27'!G18, 'Corry 23-24'!H19,'Mercer 26-27'!D18,'Erie School District 26-27'!L18)</f>
        <v>85555</v>
      </c>
      <c r="I70" s="16">
        <v>61849</v>
      </c>
      <c r="J70" s="15">
        <f>I70 - H70</f>
        <v>-23706</v>
      </c>
    </row>
    <row r="71" spans="1:10">
      <c r="A71" s="9">
        <v>18</v>
      </c>
      <c r="B71" s="17">
        <f>AVERAGE('Crawford Central School 26-27'!G19, 'Corry 23-24'!H20,'Mercer 26-27'!D19,'Erie School District 26-27'!L19)</f>
        <v>79565.5</v>
      </c>
      <c r="C71" s="12">
        <v>64449</v>
      </c>
      <c r="D71" s="19">
        <f>C71 - B71</f>
        <v>-15116.5</v>
      </c>
      <c r="E71" s="13">
        <f>MIN('Crawford Central School 26-27'!G19, 'Corry 23-24'!H20,'Mercer 26-27'!D19,'Erie School District 26-27'!L19)</f>
        <v>71815</v>
      </c>
      <c r="F71" s="14">
        <v>64449</v>
      </c>
      <c r="G71" s="13">
        <f>F71 - E71</f>
        <v>-7366</v>
      </c>
      <c r="H71" s="15">
        <f>MAX('Crawford Central School 26-27'!G19, 'Corry 23-24'!H20,'Mercer 26-27'!D19,'Erie School District 26-27'!L19)</f>
        <v>85555</v>
      </c>
      <c r="I71" s="16">
        <v>64449</v>
      </c>
      <c r="J71" s="15">
        <f>I71 - H71</f>
        <v>-21106</v>
      </c>
    </row>
    <row r="72" spans="1:10">
      <c r="A72" s="9">
        <v>19</v>
      </c>
      <c r="B72" s="17">
        <f>AVERAGE('Crawford Central School 26-27'!G20, 'Corry 23-24'!H21,'Mercer 26-27'!D20,'Erie School District 26-27'!L20)</f>
        <v>79565.5</v>
      </c>
      <c r="C72" s="12">
        <v>68499</v>
      </c>
      <c r="D72" s="19">
        <f>C72 - B72</f>
        <v>-11066.5</v>
      </c>
      <c r="E72" s="13">
        <f>MIN('Crawford Central School 26-27'!G20, 'Corry 23-24'!H21,'Mercer 26-27'!D20,'Erie School District 26-27'!L20)</f>
        <v>71815</v>
      </c>
      <c r="F72" s="14">
        <v>68499</v>
      </c>
      <c r="G72" s="13">
        <f>F72 - E72</f>
        <v>-3316</v>
      </c>
      <c r="H72" s="15">
        <f>MAX('Crawford Central School 26-27'!G20, 'Corry 23-24'!H21,'Mercer 26-27'!D20,'Erie School District 26-27'!L20)</f>
        <v>85555</v>
      </c>
      <c r="I72" s="16">
        <v>68499</v>
      </c>
      <c r="J72" s="15">
        <f>I72 - H72</f>
        <v>-17056</v>
      </c>
    </row>
    <row r="73" spans="1:10">
      <c r="A73" s="9">
        <v>20</v>
      </c>
      <c r="B73" s="17">
        <f>AVERAGE('Crawford Central School 26-27'!G21, 'Corry 23-24'!H22,'Mercer 26-27'!D21,'Erie School District 26-27'!L21)</f>
        <v>79565.5</v>
      </c>
      <c r="C73" s="12">
        <v>72074</v>
      </c>
      <c r="D73" s="19">
        <f>C73 - B73</f>
        <v>-7491.5</v>
      </c>
      <c r="E73" s="13">
        <f>MIN('Crawford Central School 26-27'!G21, 'Corry 23-24'!H22,'Mercer 26-27'!D21,'Erie School District 26-27'!L21)</f>
        <v>71815</v>
      </c>
      <c r="F73" s="14">
        <v>72074</v>
      </c>
      <c r="G73" s="13">
        <f>F73 - E73</f>
        <v>259</v>
      </c>
      <c r="H73" s="15">
        <f>MAX('Crawford Central School 26-27'!G21, 'Corry 23-24'!H22,'Mercer 26-27'!D21,'Erie School District 26-27'!L21)</f>
        <v>85555</v>
      </c>
      <c r="I73" s="16">
        <v>72074</v>
      </c>
      <c r="J73" s="15">
        <f>I73 - H73</f>
        <v>-13481</v>
      </c>
    </row>
    <row r="74" spans="1:10">
      <c r="A74" s="9">
        <v>21</v>
      </c>
      <c r="B74" s="17">
        <f>AVERAGE('Crawford Central School 26-27'!G22, 'Corry 23-24'!H23,'Mercer 26-27'!D22,'Erie School District 26-27'!L22)</f>
        <v>79565.5</v>
      </c>
      <c r="C74" s="12">
        <v>75715</v>
      </c>
      <c r="D74" s="19">
        <f>C74 - B74</f>
        <v>-3850.5</v>
      </c>
      <c r="E74" s="13">
        <f>MIN('Crawford Central School 26-27'!G22, 'Corry 23-24'!H23,'Mercer 26-27'!D22,'Erie School District 26-27'!L22)</f>
        <v>71815</v>
      </c>
      <c r="F74" s="14">
        <v>75715</v>
      </c>
      <c r="G74" s="13">
        <f>F74 - E74</f>
        <v>3900</v>
      </c>
      <c r="H74" s="15">
        <f>MAX('Crawford Central School 26-27'!G22, 'Corry 23-24'!H23,'Mercer 26-27'!D22,'Erie School District 26-27'!L22)</f>
        <v>85555</v>
      </c>
      <c r="I74" s="16">
        <v>75715</v>
      </c>
      <c r="J74" s="15">
        <f>I74 - H74</f>
        <v>-9840</v>
      </c>
    </row>
    <row r="78" spans="1:10"/>
    <row r="79" spans="1:10"/>
    <row r="80" spans="1:10"/>
    <row r="81"/>
    <row r="84"/>
  </sheetData>
  <sortState xmlns:xlrd2="http://schemas.microsoft.com/office/spreadsheetml/2017/richdata2" ref="C4:D23">
    <sortCondition descending="1" ref="C4:C23"/>
  </sortState>
  <conditionalFormatting sqref="B4:J24">
    <cfRule type="cellIs" dxfId="5" priority="3" operator="lessThan">
      <formula>0</formula>
    </cfRule>
  </conditionalFormatting>
  <conditionalFormatting sqref="B29:J49">
    <cfRule type="cellIs" dxfId="4" priority="2" operator="lessThan">
      <formula>0</formula>
    </cfRule>
  </conditionalFormatting>
  <conditionalFormatting sqref="B54:J74">
    <cfRule type="cellIs" dxfId="3" priority="1" operator="lessThan">
      <formula>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DB88-8A8A-4B74-AA88-7CB3BE076F62}">
  <dimension ref="A1:L83"/>
  <sheetViews>
    <sheetView workbookViewId="0">
      <selection activeCell="I33" sqref="I33"/>
    </sheetView>
  </sheetViews>
  <sheetFormatPr defaultRowHeight="15" customHeight="1"/>
  <cols>
    <col min="2" max="2" width="13" customWidth="1"/>
    <col min="3" max="3" width="11" customWidth="1"/>
    <col min="5" max="5" width="13.140625" customWidth="1"/>
    <col min="6" max="6" width="10" customWidth="1"/>
    <col min="7" max="7" width="13.140625" customWidth="1"/>
    <col min="8" max="8" width="14.28515625" customWidth="1"/>
    <col min="9" max="9" width="11.42578125" customWidth="1"/>
    <col min="10" max="10" width="11.7109375" customWidth="1"/>
    <col min="11" max="11" width="11.28515625" customWidth="1"/>
  </cols>
  <sheetData>
    <row r="1" spans="1:12" ht="15" customHeight="1">
      <c r="A1" s="21" t="s">
        <v>78</v>
      </c>
    </row>
    <row r="3" spans="1:12">
      <c r="A3" s="4" t="s">
        <v>79</v>
      </c>
    </row>
    <row r="4" spans="1:12">
      <c r="A4" t="s">
        <v>80</v>
      </c>
    </row>
    <row r="5" spans="1:12">
      <c r="A5" t="s">
        <v>81</v>
      </c>
      <c r="B5" t="s">
        <v>53</v>
      </c>
      <c r="C5" t="s">
        <v>82</v>
      </c>
      <c r="D5" t="s">
        <v>28</v>
      </c>
      <c r="E5" t="s">
        <v>53</v>
      </c>
      <c r="F5" t="s">
        <v>82</v>
      </c>
      <c r="G5" t="s">
        <v>30</v>
      </c>
      <c r="H5" t="s">
        <v>53</v>
      </c>
      <c r="I5" t="s">
        <v>82</v>
      </c>
      <c r="J5" t="s">
        <v>83</v>
      </c>
      <c r="K5" t="s">
        <v>53</v>
      </c>
      <c r="L5" t="s">
        <v>82</v>
      </c>
    </row>
    <row r="6" spans="1:12">
      <c r="A6">
        <f>'Crawford Central School 26-27'!B35</f>
        <v>1393.5</v>
      </c>
      <c r="B6">
        <f>'ECTS 26-27'!B32</f>
        <v>1280.1666666666665</v>
      </c>
      <c r="C6">
        <f>B6/A6</f>
        <v>0.91867001554837924</v>
      </c>
      <c r="D6">
        <f>'Corry 23-24'!B33</f>
        <v>1387.5</v>
      </c>
      <c r="E6">
        <f>'ECTS 26-27'!B32</f>
        <v>1280.1666666666665</v>
      </c>
      <c r="F6">
        <f>E6/D6</f>
        <v>0.92264264264264251</v>
      </c>
      <c r="G6">
        <f>'Mercer 26-27'!B32</f>
        <v>1387.5</v>
      </c>
      <c r="H6">
        <f>'ECTS 26-27'!B32</f>
        <v>1280.1666666666665</v>
      </c>
      <c r="I6">
        <f>H6/G6</f>
        <v>0.92264264264264251</v>
      </c>
      <c r="J6">
        <f>'Erie School District 26-27'!B33</f>
        <v>1325.8333333333335</v>
      </c>
      <c r="K6">
        <f>'ECTS 26-27'!B32</f>
        <v>1280.1666666666665</v>
      </c>
      <c r="L6">
        <f>K6/J6</f>
        <v>0.96555625392834676</v>
      </c>
    </row>
    <row r="8" spans="1:12" ht="15" customHeight="1">
      <c r="A8" s="22" t="s">
        <v>84</v>
      </c>
      <c r="B8" s="22">
        <f>AVERAGE(C6,F6,I6,L6)</f>
        <v>0.93237788869050275</v>
      </c>
      <c r="C8" t="s">
        <v>85</v>
      </c>
    </row>
    <row r="9" spans="1:12"/>
    <row r="10" spans="1:12">
      <c r="A10" t="s">
        <v>59</v>
      </c>
    </row>
    <row r="11" spans="1:12">
      <c r="A11" s="5"/>
      <c r="B11" s="6" t="s">
        <v>60</v>
      </c>
      <c r="C11" s="5"/>
      <c r="D11" s="5"/>
      <c r="E11" s="7" t="s">
        <v>61</v>
      </c>
      <c r="F11" s="5"/>
      <c r="G11" s="5"/>
      <c r="H11" s="8" t="s">
        <v>62</v>
      </c>
      <c r="I11" s="5"/>
      <c r="J11" s="5"/>
    </row>
    <row r="12" spans="1:12">
      <c r="A12" s="9" t="s">
        <v>7</v>
      </c>
      <c r="B12" s="6" t="s">
        <v>86</v>
      </c>
      <c r="C12" s="6" t="s">
        <v>53</v>
      </c>
      <c r="D12" s="10" t="s">
        <v>64</v>
      </c>
      <c r="E12" s="7" t="s">
        <v>87</v>
      </c>
      <c r="F12" s="7" t="s">
        <v>53</v>
      </c>
      <c r="G12" s="7" t="s">
        <v>64</v>
      </c>
      <c r="H12" s="8" t="s">
        <v>88</v>
      </c>
      <c r="I12" s="8" t="s">
        <v>53</v>
      </c>
      <c r="J12" s="8" t="s">
        <v>64</v>
      </c>
    </row>
    <row r="13" spans="1:12">
      <c r="A13" s="9">
        <v>1</v>
      </c>
      <c r="B13" s="11">
        <f>AVERAGE('Crawford Central School 26-27'!D2, 'Corry 23-24'!C3,'Mercer 26-27'!B2,'Erie School District 26-27'!C2)*$B$8</f>
        <v>49122.562160131311</v>
      </c>
      <c r="C13" s="12">
        <v>0</v>
      </c>
      <c r="D13" s="12"/>
      <c r="E13" s="13">
        <f>MIN('Crawford Central School 26-27'!D2, 'Corry 23-24'!C3,'Mercer 26-27'!B2,'Erie School District 26-27'!C2) * $B$8</f>
        <v>39260.568136979688</v>
      </c>
      <c r="F13" s="14">
        <v>0</v>
      </c>
      <c r="G13" s="14"/>
      <c r="H13" s="15">
        <f>MAX('Crawford Central School 26-27'!D2, 'Corry 23-24'!C3,'Mercer 26-27'!B2,'Erie School District 26-27'!C2) * $B$8</f>
        <v>53747.85577145272</v>
      </c>
      <c r="I13" s="16">
        <v>0</v>
      </c>
      <c r="J13" s="16"/>
      <c r="K13" t="s">
        <v>67</v>
      </c>
    </row>
    <row r="14" spans="1:12">
      <c r="A14" s="9">
        <v>2</v>
      </c>
      <c r="B14" s="11">
        <f>AVERAGE('Crawford Central School 26-27'!D3, 'Corry 23-24'!C4,'Mercer 26-27'!B3,'Erie School District 26-27'!C3)*$B$8</f>
        <v>49709.960230006327</v>
      </c>
      <c r="C14" s="11">
        <v>45208</v>
      </c>
      <c r="D14" s="11">
        <f>C14 - B14</f>
        <v>-4501.960230006327</v>
      </c>
      <c r="E14" s="13">
        <f>MIN('Crawford Central School 26-27'!D3, 'Corry 23-24'!C4,'Mercer 26-27'!B3,'Erie School District 26-27'!C3) * $B$8</f>
        <v>39745.40463909875</v>
      </c>
      <c r="F14" s="13">
        <v>45208</v>
      </c>
      <c r="G14" s="13">
        <f>F14 - E14</f>
        <v>5462.5953609012504</v>
      </c>
      <c r="H14" s="15">
        <f>MAX('Crawford Central School 26-27'!D3, 'Corry 23-24'!C4,'Mercer 26-27'!B3,'Erie School District 26-27'!C3) * $B$8</f>
        <v>55046.658170398594</v>
      </c>
      <c r="I14" s="15">
        <v>45208</v>
      </c>
      <c r="J14" s="15">
        <f>I14 - H14</f>
        <v>-9838.6581703985939</v>
      </c>
      <c r="K14" t="s">
        <v>68</v>
      </c>
    </row>
    <row r="15" spans="1:12">
      <c r="A15" s="9">
        <v>3</v>
      </c>
      <c r="B15" s="11">
        <f>AVERAGE('Crawford Central School 26-27'!D4, 'Corry 23-24'!C5,'Mercer 26-27'!B4,'Erie School District 26-27'!C4)*$B$8</f>
        <v>50250.739405446817</v>
      </c>
      <c r="C15" s="11">
        <v>45808</v>
      </c>
      <c r="D15" s="11">
        <f>C15 - B15</f>
        <v>-4442.7394054468168</v>
      </c>
      <c r="E15" s="13">
        <f>MIN('Crawford Central School 26-27'!D4, 'Corry 23-24'!C5,'Mercer 26-27'!B4,'Erie School District 26-27'!C4) * $B$8</f>
        <v>40043.765563479712</v>
      </c>
      <c r="F15" s="13">
        <v>45808</v>
      </c>
      <c r="G15" s="13">
        <f>F15 - E15</f>
        <v>5764.234436520288</v>
      </c>
      <c r="H15" s="15">
        <f>MAX('Crawford Central School 26-27'!D4, 'Corry 23-24'!C5,'Mercer 26-27'!B4,'Erie School District 26-27'!C4) * $B$8</f>
        <v>56345.460569344461</v>
      </c>
      <c r="I15" s="15">
        <v>45808</v>
      </c>
      <c r="J15" s="15">
        <f>I15 - H15</f>
        <v>-10537.460569344461</v>
      </c>
      <c r="K15" t="s">
        <v>69</v>
      </c>
    </row>
    <row r="16" spans="1:12">
      <c r="A16" s="9">
        <v>4</v>
      </c>
      <c r="B16" s="11">
        <f>AVERAGE('Crawford Central School 26-27'!D5, 'Corry 23-24'!C6,'Mercer 26-27'!B5,'Erie School District 26-27'!C5)*$B$8</f>
        <v>50815.061122576742</v>
      </c>
      <c r="C16" s="11">
        <v>46408</v>
      </c>
      <c r="D16" s="11">
        <f>C16 - B16</f>
        <v>-4407.0611225767425</v>
      </c>
      <c r="E16" s="13">
        <f>MIN('Crawford Central School 26-27'!D5, 'Corry 23-24'!C6,'Mercer 26-27'!B5,'Erie School District 26-27'!C5) * $B$8</f>
        <v>40436.296654618411</v>
      </c>
      <c r="F16" s="13">
        <v>46408</v>
      </c>
      <c r="G16" s="13">
        <f>F16 - E16</f>
        <v>5971.7033453815893</v>
      </c>
      <c r="H16" s="15">
        <f>MAX('Crawford Central School 26-27'!D5, 'Corry 23-24'!C6,'Mercer 26-27'!B5,'Erie School District 26-27'!C5) * $B$8</f>
        <v>57644.262968290335</v>
      </c>
      <c r="I16" s="15">
        <v>46408</v>
      </c>
      <c r="J16" s="15">
        <f>I16 - H16</f>
        <v>-11236.262968290335</v>
      </c>
    </row>
    <row r="17" spans="1:10">
      <c r="A17" s="9">
        <v>5</v>
      </c>
      <c r="B17" s="11">
        <f>AVERAGE('Crawford Central School 26-27'!D6, 'Corry 23-24'!C7,'Mercer 26-27'!B6,'Erie School District 26-27'!C6)*$B$8</f>
        <v>51654.201222398195</v>
      </c>
      <c r="C17" s="11">
        <v>47408</v>
      </c>
      <c r="D17" s="11">
        <f>C17 - B17</f>
        <v>-4246.2012223981947</v>
      </c>
      <c r="E17" s="13">
        <f>MIN('Crawford Central School 26-27'!D6, 'Corry 23-24'!C7,'Mercer 26-27'!B6,'Erie School District 26-27'!C6) * $B$8</f>
        <v>40860.528593972595</v>
      </c>
      <c r="F17" s="13">
        <v>47408</v>
      </c>
      <c r="G17" s="13">
        <f>F17 - E17</f>
        <v>6547.4714060274055</v>
      </c>
      <c r="H17" s="15">
        <f>MAX('Crawford Central School 26-27'!D6, 'Corry 23-24'!C7,'Mercer 26-27'!B6,'Erie School District 26-27'!C6) * $B$8</f>
        <v>58943.065367236202</v>
      </c>
      <c r="I17" s="15">
        <v>47408</v>
      </c>
      <c r="J17" s="15">
        <f>I17 - H17</f>
        <v>-11535.065367236202</v>
      </c>
    </row>
    <row r="18" spans="1:10">
      <c r="A18" s="9">
        <v>6</v>
      </c>
      <c r="B18" s="11">
        <f>AVERAGE('Crawford Central School 26-27'!D7, 'Corry 23-24'!C8,'Mercer 26-27'!B7,'Erie School District 26-27'!C7)*$B$8</f>
        <v>52684.711883873373</v>
      </c>
      <c r="C18" s="11">
        <v>48408</v>
      </c>
      <c r="D18" s="11">
        <f>C18 - B18</f>
        <v>-4276.7118838733732</v>
      </c>
      <c r="E18" s="13">
        <f>MIN('Crawford Central School 26-27'!D7, 'Corry 23-24'!C8,'Mercer 26-27'!B7,'Erie School District 26-27'!C7) * $B$8</f>
        <v>42050.242779941676</v>
      </c>
      <c r="F18" s="13">
        <v>48408</v>
      </c>
      <c r="G18" s="13">
        <f>F18 - E18</f>
        <v>6357.7572200583236</v>
      </c>
      <c r="H18" s="15">
        <f>MAX('Crawford Central School 26-27'!D7, 'Corry 23-24'!C8,'Mercer 26-27'!B7,'Erie School District 26-27'!C7) * $B$8</f>
        <v>60241.867766182077</v>
      </c>
      <c r="I18" s="15">
        <v>48408</v>
      </c>
      <c r="J18" s="15">
        <f>I18 - H18</f>
        <v>-11833.867766182077</v>
      </c>
    </row>
    <row r="19" spans="1:10">
      <c r="A19" s="9">
        <v>7</v>
      </c>
      <c r="B19" s="11">
        <f>AVERAGE('Crawford Central School 26-27'!D8, 'Corry 23-24'!C9,'Mercer 26-27'!B8,'Erie School District 26-27'!C8)*$B$8</f>
        <v>54281.642112728034</v>
      </c>
      <c r="C19" s="11">
        <v>49458</v>
      </c>
      <c r="D19" s="11">
        <f>C19 - B19</f>
        <v>-4823.6421127280337</v>
      </c>
      <c r="E19" s="13">
        <f>MIN('Crawford Central School 26-27'!D8, 'Corry 23-24'!C9,'Mercer 26-27'!B8,'Erie School District 26-27'!C8) * $B$8</f>
        <v>43451.606746643498</v>
      </c>
      <c r="F19" s="13">
        <v>49458</v>
      </c>
      <c r="G19" s="13">
        <f>F19 - E19</f>
        <v>6006.3932533565021</v>
      </c>
      <c r="H19" s="15">
        <f>MAX('Crawford Central School 26-27'!D8, 'Corry 23-24'!C9,'Mercer 26-27'!B8,'Erie School District 26-27'!C8) * $B$8</f>
        <v>61540.670165127944</v>
      </c>
      <c r="I19" s="15">
        <v>49458</v>
      </c>
      <c r="J19" s="15">
        <f>I19 - H19</f>
        <v>-12082.670165127944</v>
      </c>
    </row>
    <row r="20" spans="1:10">
      <c r="A20" s="9">
        <v>8</v>
      </c>
      <c r="B20" s="11">
        <f>AVERAGE('Crawford Central School 26-27'!D9, 'Corry 23-24'!C10,'Mercer 26-27'!B9,'Erie School District 26-27'!C9)*$B$8</f>
        <v>54964.375821721653</v>
      </c>
      <c r="C20" s="11">
        <v>50358</v>
      </c>
      <c r="D20" s="11">
        <f>C20 - B20</f>
        <v>-4606.3758217216528</v>
      </c>
      <c r="E20" s="13">
        <f>MIN('Crawford Central School 26-27'!D9, 'Corry 23-24'!C10,'Mercer 26-27'!B9,'Erie School District 26-27'!C9) * $B$8</f>
        <v>44924.763810774493</v>
      </c>
      <c r="F20" s="13">
        <v>50358</v>
      </c>
      <c r="G20" s="13">
        <f>F20 - E20</f>
        <v>5433.2361892255067</v>
      </c>
      <c r="H20" s="15">
        <f>MAX('Crawford Central School 26-27'!D9, 'Corry 23-24'!C10,'Mercer 26-27'!B9,'Erie School District 26-27'!C9) * $B$8</f>
        <v>62839.472564073811</v>
      </c>
      <c r="I20" s="15">
        <v>50358</v>
      </c>
      <c r="J20" s="15">
        <f>I20 - H20</f>
        <v>-12481.472564073811</v>
      </c>
    </row>
    <row r="21" spans="1:10">
      <c r="A21" s="9">
        <v>9</v>
      </c>
      <c r="B21" s="11">
        <f>AVERAGE('Crawford Central School 26-27'!D10, 'Corry 23-24'!C11,'Mercer 26-27'!B10,'Erie School District 26-27'!C10)*$B$8</f>
        <v>56129.848182584785</v>
      </c>
      <c r="C21" s="11">
        <v>51158</v>
      </c>
      <c r="D21" s="11">
        <f>C21 - B21</f>
        <v>-4971.8481825847848</v>
      </c>
      <c r="E21" s="13">
        <f>MIN('Crawford Central School 26-27'!D10, 'Corry 23-24'!C11,'Mercer 26-27'!B10,'Erie School District 26-27'!C10) * $B$8</f>
        <v>46465.984460779895</v>
      </c>
      <c r="F21" s="13">
        <v>51158</v>
      </c>
      <c r="G21" s="13">
        <f>F21 - E21</f>
        <v>4692.015539220105</v>
      </c>
      <c r="H21" s="15">
        <f>MAX('Crawford Central School 26-27'!D10, 'Corry 23-24'!C11,'Mercer 26-27'!B10,'Erie School District 26-27'!C10) * $B$8</f>
        <v>64138.274963019685</v>
      </c>
      <c r="I21" s="15">
        <v>51158</v>
      </c>
      <c r="J21" s="15">
        <f>I21 - H21</f>
        <v>-12980.274963019685</v>
      </c>
    </row>
    <row r="22" spans="1:10">
      <c r="A22" s="9">
        <v>10</v>
      </c>
      <c r="B22" s="11">
        <f>AVERAGE('Crawford Central School 26-27'!D11, 'Corry 23-24'!C12,'Mercer 26-27'!B11,'Erie School District 26-27'!C11)*$B$8</f>
        <v>57844.258025414449</v>
      </c>
      <c r="C22" s="11">
        <v>52008</v>
      </c>
      <c r="D22" s="11">
        <f>C22 - B22</f>
        <v>-5836.2580254144486</v>
      </c>
      <c r="E22" s="13">
        <f>MIN('Crawford Central School 26-27'!D11, 'Corry 23-24'!C12,'Mercer 26-27'!B11,'Erie School District 26-27'!C11) * $B$8</f>
        <v>47939.14152491089</v>
      </c>
      <c r="F22" s="13">
        <v>52008</v>
      </c>
      <c r="G22" s="13">
        <f>F22 - E22</f>
        <v>4068.8584750891096</v>
      </c>
      <c r="H22" s="15">
        <f>MAX('Crawford Central School 26-27'!D11, 'Corry 23-24'!C12,'Mercer 26-27'!B11,'Erie School District 26-27'!C11) * $B$8</f>
        <v>65437.077361965552</v>
      </c>
      <c r="I22" s="15">
        <v>52008</v>
      </c>
      <c r="J22" s="15">
        <f>I22 - H22</f>
        <v>-13429.077361965552</v>
      </c>
    </row>
    <row r="23" spans="1:10">
      <c r="A23" s="9">
        <v>11</v>
      </c>
      <c r="B23" s="11">
        <f>AVERAGE('Crawford Central School 26-27'!D12, 'Corry 23-24'!C13,'Mercer 26-27'!B12,'Erie School District 26-27'!C12)*$B$8</f>
        <v>58931.410643627569</v>
      </c>
      <c r="C23" s="11">
        <v>52758</v>
      </c>
      <c r="D23" s="11">
        <f>C23 - B23</f>
        <v>-6173.4106436275688</v>
      </c>
      <c r="E23" s="13">
        <f>MIN('Crawford Central School 26-27'!D12, 'Corry 23-24'!C13,'Mercer 26-27'!B12,'Erie School District 26-27'!C12) * $B$8</f>
        <v>49410.433833264506</v>
      </c>
      <c r="F23" s="13">
        <v>52758</v>
      </c>
      <c r="G23" s="13">
        <f>F23 - E23</f>
        <v>3347.5661667354943</v>
      </c>
      <c r="H23" s="15">
        <f>MAX('Crawford Central School 26-27'!D12, 'Corry 23-24'!C13,'Mercer 26-27'!B12,'Erie School District 26-27'!C12) * $B$8</f>
        <v>66735.879760911426</v>
      </c>
      <c r="I23" s="15">
        <v>52758</v>
      </c>
      <c r="J23" s="15">
        <f>I23 - H23</f>
        <v>-13977.879760911426</v>
      </c>
    </row>
    <row r="24" spans="1:10">
      <c r="A24" s="9">
        <v>12</v>
      </c>
      <c r="B24" s="11">
        <f>AVERAGE('Crawford Central School 26-27'!D13, 'Corry 23-24'!C14,'Mercer 26-27'!B13,'Erie School District 26-27'!C13)*$B$8</f>
        <v>60485.218395130294</v>
      </c>
      <c r="C24" s="11">
        <v>53408</v>
      </c>
      <c r="D24" s="11">
        <f>C24 - B24</f>
        <v>-7077.2183951302941</v>
      </c>
      <c r="E24" s="13">
        <f>MIN('Crawford Central School 26-27'!D13, 'Corry 23-24'!C14,'Mercer 26-27'!B13,'Erie School District 26-27'!C13) * $B$8</f>
        <v>50883.590897395494</v>
      </c>
      <c r="F24" s="13">
        <v>53408</v>
      </c>
      <c r="G24" s="13">
        <f>F24 - E24</f>
        <v>2524.4091026045062</v>
      </c>
      <c r="H24" s="15">
        <f>MAX('Crawford Central School 26-27'!D13, 'Corry 23-24'!C14,'Mercer 26-27'!B13,'Erie School District 26-27'!C13) * $B$8</f>
        <v>68034.682159857301</v>
      </c>
      <c r="I24" s="15">
        <v>53408</v>
      </c>
      <c r="J24" s="15">
        <f>I24 - H24</f>
        <v>-14626.682159857301</v>
      </c>
    </row>
    <row r="25" spans="1:10">
      <c r="A25" s="9">
        <v>13</v>
      </c>
      <c r="B25" s="11">
        <f>AVERAGE('Crawford Central School 26-27'!D14, 'Corry 23-24'!C15,'Mercer 26-27'!B14,'Erie School District 26-27'!C14)*$B$8</f>
        <v>62038.326863216498</v>
      </c>
      <c r="C25" s="11">
        <v>54158</v>
      </c>
      <c r="D25" s="11">
        <f>C25 - B25</f>
        <v>-7880.3268632164982</v>
      </c>
      <c r="E25" s="13">
        <f>MIN('Crawford Central School 26-27'!D14, 'Corry 23-24'!C15,'Mercer 26-27'!B14,'Erie School District 26-27'!C14) * $B$8</f>
        <v>52354.883205749109</v>
      </c>
      <c r="F25" s="13">
        <v>54158</v>
      </c>
      <c r="G25" s="13">
        <f>F25 - E25</f>
        <v>1803.116794250891</v>
      </c>
      <c r="H25" s="15">
        <f>MAX('Crawford Central School 26-27'!D14, 'Corry 23-24'!C15,'Mercer 26-27'!B14,'Erie School District 26-27'!C14) * $B$8</f>
        <v>69333.48455880316</v>
      </c>
      <c r="I25" s="15">
        <v>54158</v>
      </c>
      <c r="J25" s="15">
        <f>I25 - H25</f>
        <v>-15175.48455880316</v>
      </c>
    </row>
    <row r="26" spans="1:10">
      <c r="A26" s="9">
        <v>14</v>
      </c>
      <c r="B26" s="11">
        <f>AVERAGE('Crawford Central School 26-27'!D15, 'Corry 23-24'!C16,'Mercer 26-27'!B15,'Erie School District 26-27'!C15)*$B$8</f>
        <v>63592.134614719223</v>
      </c>
      <c r="C26" s="11">
        <v>55158</v>
      </c>
      <c r="D26" s="11">
        <f>C26 - B26</f>
        <v>-8434.1346147192235</v>
      </c>
      <c r="E26" s="13">
        <f>MIN('Crawford Central School 26-27'!D15, 'Corry 23-24'!C16,'Mercer 26-27'!B15,'Erie School District 26-27'!C15) * $B$8</f>
        <v>53828.040269880104</v>
      </c>
      <c r="F26" s="13">
        <v>55158</v>
      </c>
      <c r="G26" s="13">
        <f>F26 - E26</f>
        <v>1329.9597301198955</v>
      </c>
      <c r="H26" s="15">
        <f>MAX('Crawford Central School 26-27'!D15, 'Corry 23-24'!C16,'Mercer 26-27'!B15,'Erie School District 26-27'!C15) * $B$8</f>
        <v>70632.286957749035</v>
      </c>
      <c r="I26" s="15">
        <v>55158</v>
      </c>
      <c r="J26" s="15">
        <f>I26 - H26</f>
        <v>-15474.286957749035</v>
      </c>
    </row>
    <row r="27" spans="1:10">
      <c r="A27" s="9">
        <v>15</v>
      </c>
      <c r="B27" s="11">
        <f>AVERAGE('Crawford Central School 26-27'!D16, 'Corry 23-24'!C17,'Mercer 26-27'!B16,'Erie School District 26-27'!C16)*$B$8</f>
        <v>64656.677069131605</v>
      </c>
      <c r="C27" s="11">
        <v>56458</v>
      </c>
      <c r="D27" s="11">
        <f>C27 - B27</f>
        <v>-8198.6770691316051</v>
      </c>
      <c r="E27" s="13">
        <f>MIN('Crawford Central School 26-27'!D16, 'Corry 23-24'!C17,'Mercer 26-27'!B16,'Erie School District 26-27'!C16) * $B$8</f>
        <v>55433.594994205152</v>
      </c>
      <c r="F27" s="13">
        <v>56458</v>
      </c>
      <c r="G27" s="13">
        <f>F27 - E27</f>
        <v>1024.405005794848</v>
      </c>
      <c r="H27" s="15">
        <f>MAX('Crawford Central School 26-27'!D16, 'Corry 23-24'!C17,'Mercer 26-27'!B16,'Erie School District 26-27'!C16) * $B$8</f>
        <v>71931.089356694909</v>
      </c>
      <c r="I27" s="15">
        <v>56458</v>
      </c>
      <c r="J27" s="15">
        <f>I27 - H27</f>
        <v>-15473.089356694909</v>
      </c>
    </row>
    <row r="28" spans="1:10">
      <c r="A28" s="9">
        <v>16</v>
      </c>
      <c r="B28" s="11">
        <f>AVERAGE('Crawford Central School 26-27'!D17, 'Corry 23-24'!C18,'Mercer 26-27'!B17,'Erie School District 26-27'!C17)*$B$8</f>
        <v>65482.996972983565</v>
      </c>
      <c r="C28" s="11">
        <v>57758</v>
      </c>
      <c r="D28" s="11">
        <f>C28 - B28</f>
        <v>-7724.9969729835648</v>
      </c>
      <c r="E28" s="13">
        <f>MIN('Crawford Central School 26-27'!D17, 'Corry 23-24'!C18,'Mercer 26-27'!B17,'Erie School District 26-27'!C17) * $B$8</f>
        <v>57385.061915234372</v>
      </c>
      <c r="F28" s="13">
        <v>57758</v>
      </c>
      <c r="G28" s="13">
        <f>F28 - E28</f>
        <v>372.93808476562845</v>
      </c>
      <c r="H28" s="15">
        <f>MAX('Crawford Central School 26-27'!D17, 'Corry 23-24'!C18,'Mercer 26-27'!B17,'Erie School District 26-27'!C17) * $B$8</f>
        <v>71931.089356694909</v>
      </c>
      <c r="I28" s="15">
        <v>57758</v>
      </c>
      <c r="J28" s="15">
        <f>I28 - H28</f>
        <v>-14173.089356694909</v>
      </c>
    </row>
    <row r="29" spans="1:10">
      <c r="A29" s="9">
        <v>17</v>
      </c>
      <c r="B29" s="11">
        <f>AVERAGE('Crawford Central School 26-27'!D18, 'Corry 23-24'!C19,'Mercer 26-27'!B18,'Erie School District 26-27'!C18)*$B$8</f>
        <v>65821.217052106047</v>
      </c>
      <c r="C29" s="11">
        <v>59308</v>
      </c>
      <c r="D29" s="11">
        <f>C29 - B29</f>
        <v>-6513.217052106047</v>
      </c>
      <c r="E29" s="13">
        <f>MIN('Crawford Central School 26-27'!D18, 'Corry 23-24'!C19,'Mercer 26-27'!B18,'Erie School District 26-27'!C18) * $B$8</f>
        <v>57385.061915234372</v>
      </c>
      <c r="F29" s="13">
        <v>59308</v>
      </c>
      <c r="G29" s="13">
        <f>F29 - E29</f>
        <v>1922.9380847656284</v>
      </c>
      <c r="H29" s="15">
        <f>MAX('Crawford Central School 26-27'!D18, 'Corry 23-24'!C19,'Mercer 26-27'!B18,'Erie School District 26-27'!C18) * $B$8</f>
        <v>71931.089356694909</v>
      </c>
      <c r="I29" s="15">
        <v>59308</v>
      </c>
      <c r="J29" s="15">
        <f>I29 - H29</f>
        <v>-12623.089356694909</v>
      </c>
    </row>
    <row r="30" spans="1:10">
      <c r="A30" s="9">
        <v>18</v>
      </c>
      <c r="B30" s="11">
        <f>AVERAGE('Crawford Central School 26-27'!D19, 'Corry 23-24'!C20,'Mercer 26-27'!B19,'Erie School District 26-27'!C19)*$B$8</f>
        <v>66159.670225700698</v>
      </c>
      <c r="C30" s="11">
        <v>61908</v>
      </c>
      <c r="D30" s="11">
        <f>C30 - B30</f>
        <v>-4251.6702257006982</v>
      </c>
      <c r="E30" s="13">
        <f>MIN('Crawford Central School 26-27'!D19, 'Corry 23-24'!C20,'Mercer 26-27'!B19,'Erie School District 26-27'!C19) * $B$8</f>
        <v>57385.061915234372</v>
      </c>
      <c r="F30" s="13">
        <v>61908</v>
      </c>
      <c r="G30" s="13">
        <f>F30 - E30</f>
        <v>4522.9380847656284</v>
      </c>
      <c r="H30" s="15">
        <f>MAX('Crawford Central School 26-27'!D19, 'Corry 23-24'!C20,'Mercer 26-27'!B19,'Erie School District 26-27'!C19) * $B$8</f>
        <v>72721.745806304447</v>
      </c>
      <c r="I30" s="15">
        <v>61908</v>
      </c>
      <c r="J30" s="15">
        <f>I30 - H30</f>
        <v>-10813.745806304447</v>
      </c>
    </row>
    <row r="31" spans="1:10">
      <c r="A31" s="9">
        <v>19</v>
      </c>
      <c r="B31" s="11">
        <f>AVERAGE('Crawford Central School 26-27'!D20, 'Corry 23-24'!C21,'Mercer 26-27'!B20,'Erie School District 26-27'!C20)*$B$8</f>
        <v>66159.670225700698</v>
      </c>
      <c r="C31" s="11">
        <v>65958</v>
      </c>
      <c r="D31" s="11">
        <f>C31 - B31</f>
        <v>-201.67022570069821</v>
      </c>
      <c r="E31" s="13">
        <f>MIN('Crawford Central School 26-27'!D20, 'Corry 23-24'!C21,'Mercer 26-27'!B20,'Erie School District 26-27'!C20) * $B$8</f>
        <v>57385.061915234372</v>
      </c>
      <c r="F31" s="13">
        <v>65958</v>
      </c>
      <c r="G31" s="13">
        <f>F31 - E31</f>
        <v>8572.9380847656284</v>
      </c>
      <c r="H31" s="15">
        <f>MAX('Crawford Central School 26-27'!D20, 'Corry 23-24'!C21,'Mercer 26-27'!B20,'Erie School District 26-27'!C20) * $B$8</f>
        <v>72721.745806304447</v>
      </c>
      <c r="I31" s="15">
        <v>65958</v>
      </c>
      <c r="J31" s="15">
        <f>I31 - H31</f>
        <v>-6763.7458063044469</v>
      </c>
    </row>
    <row r="32" spans="1:10">
      <c r="A32" s="9">
        <v>20</v>
      </c>
      <c r="B32" s="11">
        <f>AVERAGE('Crawford Central School 26-27'!D21, 'Corry 23-24'!C22,'Mercer 26-27'!B21,'Erie School District 26-27'!C21)*$B$8</f>
        <v>66159.670225700698</v>
      </c>
      <c r="C32" s="11">
        <v>69533</v>
      </c>
      <c r="D32" s="11">
        <f>C32 - B32</f>
        <v>3373.3297742993018</v>
      </c>
      <c r="E32" s="13">
        <f>MIN('Crawford Central School 26-27'!D21, 'Corry 23-24'!C22,'Mercer 26-27'!B21,'Erie School District 26-27'!C21) * $B$8</f>
        <v>57385.061915234372</v>
      </c>
      <c r="F32" s="13">
        <v>69533</v>
      </c>
      <c r="G32" s="13">
        <f>F32 - E32</f>
        <v>12147.938084765628</v>
      </c>
      <c r="H32" s="15">
        <f>MAX('Crawford Central School 26-27'!D21, 'Corry 23-24'!C22,'Mercer 26-27'!B21,'Erie School District 26-27'!C21) * $B$8</f>
        <v>72721.745806304447</v>
      </c>
      <c r="I32" s="15">
        <v>69533</v>
      </c>
      <c r="J32" s="15">
        <f>I32 - H32</f>
        <v>-3188.7458063044469</v>
      </c>
    </row>
    <row r="33" spans="1:10">
      <c r="A33" s="9">
        <v>21</v>
      </c>
      <c r="B33" s="11">
        <f>AVERAGE('Crawford Central School 26-27'!D22, 'Corry 23-24'!C23,'Mercer 26-27'!B22,'Erie School District 26-27'!C22)*$B$8</f>
        <v>66159.670225700698</v>
      </c>
      <c r="C33" s="11">
        <v>73574</v>
      </c>
      <c r="D33" s="11">
        <f>C33 - B33</f>
        <v>7414.3297742993018</v>
      </c>
      <c r="E33" s="13">
        <f>MIN('Crawford Central School 26-27'!D22, 'Corry 23-24'!C23,'Mercer 26-27'!B22,'Erie School District 26-27'!C22) * $B$8</f>
        <v>57385.061915234372</v>
      </c>
      <c r="F33" s="13">
        <v>73574</v>
      </c>
      <c r="G33" s="13">
        <f>F33 - E33</f>
        <v>16188.938084765628</v>
      </c>
      <c r="H33" s="15">
        <f>MAX('Crawford Central School 26-27'!D22, 'Corry 23-24'!C23,'Mercer 26-27'!B22,'Erie School District 26-27'!C22) * $B$8</f>
        <v>72721.745806304447</v>
      </c>
      <c r="I33" s="15">
        <v>73574</v>
      </c>
      <c r="J33" s="15">
        <f>I33 - H33</f>
        <v>852.25419369555311</v>
      </c>
    </row>
    <row r="35" spans="1:10">
      <c r="A35" t="s">
        <v>70</v>
      </c>
    </row>
    <row r="36" spans="1:10">
      <c r="A36" s="5"/>
      <c r="B36" s="6" t="s">
        <v>60</v>
      </c>
      <c r="C36" s="5"/>
      <c r="D36" s="5"/>
      <c r="E36" s="7" t="s">
        <v>61</v>
      </c>
      <c r="F36" s="5"/>
      <c r="G36" s="5"/>
      <c r="H36" s="8" t="s">
        <v>62</v>
      </c>
      <c r="I36" s="5"/>
      <c r="J36" s="5"/>
    </row>
    <row r="37" spans="1:10">
      <c r="A37" s="9" t="s">
        <v>7</v>
      </c>
      <c r="B37" s="6" t="s">
        <v>86</v>
      </c>
      <c r="C37" s="6" t="s">
        <v>53</v>
      </c>
      <c r="D37" s="10" t="s">
        <v>64</v>
      </c>
      <c r="E37" s="7" t="s">
        <v>87</v>
      </c>
      <c r="F37" s="7" t="s">
        <v>53</v>
      </c>
      <c r="G37" s="7" t="s">
        <v>64</v>
      </c>
      <c r="H37" s="8" t="s">
        <v>88</v>
      </c>
      <c r="I37" s="8" t="s">
        <v>53</v>
      </c>
      <c r="J37" s="8" t="s">
        <v>64</v>
      </c>
    </row>
    <row r="38" spans="1:10">
      <c r="A38" s="9">
        <v>1</v>
      </c>
      <c r="B38" s="17">
        <f>AVERAGE('Crawford Central School 26-27'!F2, 'Corry 23-24'!G3,'Mercer 26-27'!C2,'Erie School District 26-27'!I2) * $B$8</f>
        <v>54083.744905853477</v>
      </c>
      <c r="C38" s="12">
        <v>0</v>
      </c>
      <c r="D38" s="18"/>
      <c r="E38" s="13">
        <f>MIN('Crawford Central School 26-27'!F2, 'Corry 23-24'!G3,'Mercer 26-27'!C2,'Erie School District 26-27'!I2) * $B$8</f>
        <v>46842.665127810855</v>
      </c>
      <c r="F38" s="14">
        <v>0</v>
      </c>
      <c r="G38" s="14"/>
      <c r="H38" s="15">
        <f>MAX('Crawford Central School 26-27'!F2, 'Corry 23-24'!G3,'Mercer 26-27'!C2,'Erie School District 26-27'!I2) * $B$8</f>
        <v>57759.877826487958</v>
      </c>
      <c r="I38" s="16">
        <v>0</v>
      </c>
      <c r="J38" s="16"/>
    </row>
    <row r="39" spans="1:10">
      <c r="A39" s="9">
        <v>2</v>
      </c>
      <c r="B39" s="17">
        <f>AVERAGE('Crawford Central School 26-27'!F3, 'Corry 23-24'!G4,'Mercer 26-27'!C3,'Erie School District 26-27'!I3) * $B$8</f>
        <v>54701.911446055281</v>
      </c>
      <c r="C39" s="12">
        <v>46749</v>
      </c>
      <c r="D39" s="19">
        <f>C39 - B39</f>
        <v>-7952.911446055281</v>
      </c>
      <c r="E39" s="13">
        <f>MIN('Crawford Central School 26-27'!F3, 'Corry 23-24'!G4,'Mercer 26-27'!C3,'Erie School District 26-27'!I3) * $B$8</f>
        <v>47276.22084605194</v>
      </c>
      <c r="F39" s="14">
        <v>46749</v>
      </c>
      <c r="G39" s="13">
        <f>F39 - E39</f>
        <v>-527.22084605193959</v>
      </c>
      <c r="H39" s="15">
        <f>MAX('Crawford Central School 26-27'!F3, 'Corry 23-24'!G4,'Mercer 26-27'!C3,'Erie School District 26-27'!I3) * $B$8</f>
        <v>59233.034890618947</v>
      </c>
      <c r="I39" s="16">
        <v>46749</v>
      </c>
      <c r="J39" s="15">
        <f>I39 - H39</f>
        <v>-12484.034890618947</v>
      </c>
    </row>
    <row r="40" spans="1:10">
      <c r="A40" s="9">
        <v>3</v>
      </c>
      <c r="B40" s="17">
        <f>AVERAGE('Crawford Central School 26-27'!F4, 'Corry 23-24'!G5,'Mercer 26-27'!C4,'Erie School District 26-27'!I4) * $B$8</f>
        <v>55316.814663646663</v>
      </c>
      <c r="C40" s="12">
        <v>47349</v>
      </c>
      <c r="D40" s="19">
        <f>C40 - B40</f>
        <v>-7967.8146636466627</v>
      </c>
      <c r="E40" s="13">
        <f>MIN('Crawford Central School 26-27'!F4, 'Corry 23-24'!G5,'Mercer 26-27'!C4,'Erie School District 26-27'!I4) * $B$8</f>
        <v>47696.723273851356</v>
      </c>
      <c r="F40" s="14">
        <v>47349</v>
      </c>
      <c r="G40" s="13">
        <f>F40 - E40</f>
        <v>-347.72327385135577</v>
      </c>
      <c r="H40" s="15">
        <f>MAX('Crawford Central School 26-27'!F4, 'Corry 23-24'!G5,'Mercer 26-27'!C4,'Erie School District 26-27'!I4) * $B$8</f>
        <v>60706.191954749942</v>
      </c>
      <c r="I40" s="16">
        <v>47349</v>
      </c>
      <c r="J40" s="15">
        <f>I40 - H40</f>
        <v>-13357.191954749942</v>
      </c>
    </row>
    <row r="41" spans="1:10">
      <c r="A41" s="9">
        <v>4</v>
      </c>
      <c r="B41" s="17">
        <f>AVERAGE('Crawford Central School 26-27'!F5, 'Corry 23-24'!G6,'Mercer 26-27'!C5,'Erie School District 26-27'!I5) * $B$8</f>
        <v>55944.304982735375</v>
      </c>
      <c r="C41" s="12">
        <v>47949</v>
      </c>
      <c r="D41" s="19">
        <f>C41 - B41</f>
        <v>-7995.3049827353752</v>
      </c>
      <c r="E41" s="13">
        <f>MIN('Crawford Central School 26-27'!F5, 'Corry 23-24'!G6,'Mercer 26-27'!C5,'Erie School District 26-27'!I5) * $B$8</f>
        <v>48167.574107640066</v>
      </c>
      <c r="F41" s="14">
        <v>47949</v>
      </c>
      <c r="G41" s="13">
        <f>F41 - E41</f>
        <v>-218.57410764006636</v>
      </c>
      <c r="H41" s="15">
        <f>MAX('Crawford Central School 26-27'!F5, 'Corry 23-24'!G6,'Mercer 26-27'!C5,'Erie School District 26-27'!I5) * $B$8</f>
        <v>62179.349018880937</v>
      </c>
      <c r="I41" s="16">
        <v>47949</v>
      </c>
      <c r="J41" s="15">
        <f>I41 - H41</f>
        <v>-14230.349018880937</v>
      </c>
    </row>
    <row r="42" spans="1:10">
      <c r="A42" s="9">
        <v>5</v>
      </c>
      <c r="B42" s="17">
        <f>AVERAGE('Crawford Central School 26-27'!F6, 'Corry 23-24'!G7,'Mercer 26-27'!C6,'Erie School District 26-27'!I6) * $B$8</f>
        <v>56827.033748853108</v>
      </c>
      <c r="C42" s="12">
        <v>48949</v>
      </c>
      <c r="D42" s="19">
        <f>C42 - B42</f>
        <v>-7878.0337488531077</v>
      </c>
      <c r="E42" s="13">
        <f>MIN('Crawford Central School 26-27'!F6, 'Corry 23-24'!G7,'Mercer 26-27'!C6,'Erie School District 26-27'!I6) * $B$8</f>
        <v>48591.806046994243</v>
      </c>
      <c r="F42" s="14">
        <v>48949</v>
      </c>
      <c r="G42" s="13">
        <f>F42 - E42</f>
        <v>357.19395300575707</v>
      </c>
      <c r="H42" s="15">
        <f>MAX('Crawford Central School 26-27'!F6, 'Corry 23-24'!G7,'Mercer 26-27'!C6,'Erie School District 26-27'!I6) * $B$8</f>
        <v>63652.506083011933</v>
      </c>
      <c r="I42" s="16">
        <v>48949</v>
      </c>
      <c r="J42" s="15">
        <f>I42 - H42</f>
        <v>-14703.506083011933</v>
      </c>
    </row>
    <row r="43" spans="1:10">
      <c r="A43" s="9">
        <v>6</v>
      </c>
      <c r="B43" s="17">
        <f>AVERAGE('Crawford Central School 26-27'!F7, 'Corry 23-24'!G8,'Mercer 26-27'!C7,'Erie School District 26-27'!I7) * $B$8</f>
        <v>57941.924609254776</v>
      </c>
      <c r="C43" s="12">
        <v>49949</v>
      </c>
      <c r="D43" s="19">
        <f>C43 - B43</f>
        <v>-7992.9246092547764</v>
      </c>
      <c r="E43" s="13">
        <f>MIN('Crawford Central School 26-27'!F7, 'Corry 23-24'!G8,'Mercer 26-27'!C7,'Erie School District 26-27'!I7) * $B$8</f>
        <v>49944.686363484157</v>
      </c>
      <c r="F43" s="14">
        <v>49949</v>
      </c>
      <c r="G43" s="13">
        <f>F43 - E43</f>
        <v>4.3136365158425178</v>
      </c>
      <c r="H43" s="15">
        <f>MAX('Crawford Central School 26-27'!F7, 'Corry 23-24'!G8,'Mercer 26-27'!C7,'Erie School District 26-27'!I7) * $B$8</f>
        <v>65125.663147142928</v>
      </c>
      <c r="I43" s="16">
        <v>49949</v>
      </c>
      <c r="J43" s="15">
        <f>I43 - H43</f>
        <v>-15176.663147142928</v>
      </c>
    </row>
    <row r="44" spans="1:10">
      <c r="A44" s="9">
        <v>7</v>
      </c>
      <c r="B44" s="17">
        <f>AVERAGE('Crawford Central School 26-27'!F8, 'Corry 23-24'!G9,'Mercer 26-27'!C8,'Erie School District 26-27'!I8) * $B$8</f>
        <v>59220.214694649454</v>
      </c>
      <c r="C44" s="12">
        <v>50999</v>
      </c>
      <c r="D44" s="19">
        <f>C44 - B44</f>
        <v>-8221.214694649454</v>
      </c>
      <c r="E44" s="13">
        <f>MIN('Crawford Central School 26-27'!F8, 'Corry 23-24'!G9,'Mercer 26-27'!C8,'Erie School District 26-27'!I8) * $B$8</f>
        <v>51346.050330185986</v>
      </c>
      <c r="F44" s="14">
        <v>50999</v>
      </c>
      <c r="G44" s="13">
        <f>F44 - E44</f>
        <v>-347.05033018598624</v>
      </c>
      <c r="H44" s="15">
        <f>MAX('Crawford Central School 26-27'!F8, 'Corry 23-24'!G9,'Mercer 26-27'!C8,'Erie School District 26-27'!I8) * $B$8</f>
        <v>66598.820211273924</v>
      </c>
      <c r="I44" s="16">
        <v>50999</v>
      </c>
      <c r="J44" s="15">
        <f>I44 - H44</f>
        <v>-15599.820211273924</v>
      </c>
    </row>
    <row r="45" spans="1:10">
      <c r="A45" s="9">
        <v>8</v>
      </c>
      <c r="B45" s="17">
        <f>AVERAGE('Crawford Central School 26-27'!F9, 'Corry 23-24'!G10,'Mercer 26-27'!C9,'Erie School District 26-27'!I9) * $B$8</f>
        <v>60513.189731791012</v>
      </c>
      <c r="C45" s="12">
        <v>51899</v>
      </c>
      <c r="D45" s="19">
        <f>C45 - B45</f>
        <v>-8614.1897317910116</v>
      </c>
      <c r="E45" s="13">
        <f>MIN('Crawford Central School 26-27'!F9, 'Corry 23-24'!G10,'Mercer 26-27'!C9,'Erie School District 26-27'!I9) * $B$8</f>
        <v>52819.207394316982</v>
      </c>
      <c r="F45" s="14">
        <v>51899</v>
      </c>
      <c r="G45" s="13">
        <f>F45 - E45</f>
        <v>-920.20739431698166</v>
      </c>
      <c r="H45" s="15">
        <f>MAX('Crawford Central School 26-27'!F9, 'Corry 23-24'!G10,'Mercer 26-27'!C9,'Erie School District 26-27'!I9) * $B$8</f>
        <v>68071.977275404919</v>
      </c>
      <c r="I45" s="16">
        <v>51899</v>
      </c>
      <c r="J45" s="15">
        <f>I45 - H45</f>
        <v>-16172.977275404919</v>
      </c>
    </row>
    <row r="46" spans="1:10">
      <c r="A46" s="9">
        <v>9</v>
      </c>
      <c r="B46" s="17">
        <f>AVERAGE('Crawford Central School 26-27'!F10, 'Corry 23-24'!G11,'Mercer 26-27'!C10,'Erie School District 26-27'!I10) * $B$8</f>
        <v>61823.646854345512</v>
      </c>
      <c r="C46" s="12">
        <v>52699</v>
      </c>
      <c r="D46" s="19">
        <f>C46 - B46</f>
        <v>-9124.6468543455121</v>
      </c>
      <c r="E46" s="13">
        <f>MIN('Crawford Central School 26-27'!F10, 'Corry 23-24'!G11,'Mercer 26-27'!C10,'Erie School District 26-27'!I10) * $B$8</f>
        <v>54361.360422211073</v>
      </c>
      <c r="F46" s="14">
        <v>52699</v>
      </c>
      <c r="G46" s="13">
        <f>F46 - E46</f>
        <v>-1662.3604222110735</v>
      </c>
      <c r="H46" s="15">
        <f>MAX('Crawford Central School 26-27'!F10, 'Corry 23-24'!G11,'Mercer 26-27'!C10,'Erie School District 26-27'!I10) * $B$8</f>
        <v>69545.134339535914</v>
      </c>
      <c r="I46" s="16">
        <v>52699</v>
      </c>
      <c r="J46" s="15">
        <f>I46 - H46</f>
        <v>-16846.134339535914</v>
      </c>
    </row>
    <row r="47" spans="1:10">
      <c r="A47" s="9">
        <v>10</v>
      </c>
      <c r="B47" s="17">
        <f>AVERAGE('Crawford Central School 26-27'!F11, 'Corry 23-24'!G12,'Mercer 26-27'!C11,'Erie School District 26-27'!I11) * $B$8</f>
        <v>63115.223324654027</v>
      </c>
      <c r="C47" s="12">
        <v>53549</v>
      </c>
      <c r="D47" s="19">
        <f>C47 - B47</f>
        <v>-9566.2233246540272</v>
      </c>
      <c r="E47" s="13">
        <f>MIN('Crawford Central School 26-27'!F11, 'Corry 23-24'!G12,'Mercer 26-27'!C11,'Erie School District 26-27'!I11) * $B$8</f>
        <v>55833.585108453379</v>
      </c>
      <c r="F47" s="14">
        <v>53549</v>
      </c>
      <c r="G47" s="13">
        <f>F47 - E47</f>
        <v>-2284.5851084533788</v>
      </c>
      <c r="H47" s="15">
        <f>MAX('Crawford Central School 26-27'!F11, 'Corry 23-24'!G12,'Mercer 26-27'!C11,'Erie School District 26-27'!I11) * $B$8</f>
        <v>71018.29140366691</v>
      </c>
      <c r="I47" s="16">
        <v>53549</v>
      </c>
      <c r="J47" s="15">
        <f>I47 - H47</f>
        <v>-17469.29140366691</v>
      </c>
    </row>
    <row r="48" spans="1:10">
      <c r="A48" s="9">
        <v>11</v>
      </c>
      <c r="B48" s="17">
        <f>AVERAGE('Crawford Central School 26-27'!F12, 'Corry 23-24'!G13,'Mercer 26-27'!C12,'Erie School District 26-27'!I12) * $B$8</f>
        <v>64735.696095198124</v>
      </c>
      <c r="C48" s="12">
        <v>54299</v>
      </c>
      <c r="D48" s="19">
        <f>C48 - B48</f>
        <v>-10436.696095198124</v>
      </c>
      <c r="E48" s="13">
        <f>MIN('Crawford Central School 26-27'!F12, 'Corry 23-24'!G13,'Mercer 26-27'!C12,'Erie School District 26-27'!I12) * $B$8</f>
        <v>57305.809794695677</v>
      </c>
      <c r="F48" s="14">
        <v>54299</v>
      </c>
      <c r="G48" s="13">
        <f>F48 - E48</f>
        <v>-3006.8097946956768</v>
      </c>
      <c r="H48" s="15">
        <f>MAX('Crawford Central School 26-27'!F12, 'Corry 23-24'!G13,'Mercer 26-27'!C12,'Erie School District 26-27'!I12) * $B$8</f>
        <v>72491.448467797905</v>
      </c>
      <c r="I48" s="16">
        <v>54299</v>
      </c>
      <c r="J48" s="15">
        <f>I48 - H48</f>
        <v>-18192.448467797905</v>
      </c>
    </row>
    <row r="49" spans="1:10">
      <c r="A49" s="9">
        <v>12</v>
      </c>
      <c r="B49" s="17">
        <f>AVERAGE('Crawford Central School 26-27'!F13, 'Corry 23-24'!G14,'Mercer 26-27'!C13,'Erie School District 26-27'!I13) * $B$8</f>
        <v>66309.316876835524</v>
      </c>
      <c r="C49" s="12">
        <v>54949</v>
      </c>
      <c r="D49" s="19">
        <f>C49 - B49</f>
        <v>-11360.316876835524</v>
      </c>
      <c r="E49" s="13">
        <f>MIN('Crawford Central School 26-27'!F13, 'Corry 23-24'!G14,'Mercer 26-27'!C13,'Erie School District 26-27'!I13) * $B$8</f>
        <v>58778.034480937982</v>
      </c>
      <c r="F49" s="14">
        <v>54949</v>
      </c>
      <c r="G49" s="13">
        <f>F49 - E49</f>
        <v>-3829.0344809379822</v>
      </c>
      <c r="H49" s="15">
        <f>MAX('Crawford Central School 26-27'!F13, 'Corry 23-24'!G14,'Mercer 26-27'!C13,'Erie School District 26-27'!I13) * $B$8</f>
        <v>73964.605531928886</v>
      </c>
      <c r="I49" s="16">
        <v>54949</v>
      </c>
      <c r="J49" s="15">
        <f>I49 - H49</f>
        <v>-19015.605531928886</v>
      </c>
    </row>
    <row r="50" spans="1:10">
      <c r="A50" s="9">
        <v>13</v>
      </c>
      <c r="B50" s="17">
        <f>AVERAGE('Crawford Central School 26-27'!F14, 'Corry 23-24'!G15,'Mercer 26-27'!C14,'Erie School District 26-27'!I14) * $B$8</f>
        <v>67906.480200162347</v>
      </c>
      <c r="C50" s="12">
        <v>55699</v>
      </c>
      <c r="D50" s="19">
        <f>C50 - B50</f>
        <v>-12207.480200162347</v>
      </c>
      <c r="E50" s="13">
        <f>MIN('Crawford Central School 26-27'!F14, 'Corry 23-24'!G15,'Mercer 26-27'!C14,'Erie School District 26-27'!I14) * $B$8</f>
        <v>60250.259167180287</v>
      </c>
      <c r="F50" s="14">
        <v>55699</v>
      </c>
      <c r="G50" s="13">
        <f>F50 - E50</f>
        <v>-4551.2591671802875</v>
      </c>
      <c r="H50" s="15">
        <f>MAX('Crawford Central School 26-27'!F14, 'Corry 23-24'!G15,'Mercer 26-27'!C14,'Erie School District 26-27'!I14) * $B$8</f>
        <v>75437.762596059882</v>
      </c>
      <c r="I50" s="16">
        <v>55699</v>
      </c>
      <c r="J50" s="15">
        <f>I50 - H50</f>
        <v>-19738.762596059882</v>
      </c>
    </row>
    <row r="51" spans="1:10">
      <c r="A51" s="9">
        <v>14</v>
      </c>
      <c r="B51" s="17">
        <f>AVERAGE('Crawford Central School 26-27'!F15, 'Corry 23-24'!G16,'Mercer 26-27'!C15,'Erie School District 26-27'!I15) * $B$8</f>
        <v>69736.73799566181</v>
      </c>
      <c r="C51" s="12">
        <v>56699</v>
      </c>
      <c r="D51" s="19">
        <f>C51 - B51</f>
        <v>-13037.73799566181</v>
      </c>
      <c r="E51" s="13">
        <f>MIN('Crawford Central School 26-27'!F15, 'Corry 23-24'!G16,'Mercer 26-27'!C15,'Erie School District 26-27'!I15) * $B$8</f>
        <v>61722.483853422593</v>
      </c>
      <c r="F51" s="14">
        <v>56699</v>
      </c>
      <c r="G51" s="13">
        <f>F51 - E51</f>
        <v>-5023.4838534225928</v>
      </c>
      <c r="H51" s="15">
        <f>MAX('Crawford Central School 26-27'!F15, 'Corry 23-24'!G16,'Mercer 26-27'!C15,'Erie School District 26-27'!I15) * $B$8</f>
        <v>76910.919660190877</v>
      </c>
      <c r="I51" s="16">
        <v>56699</v>
      </c>
      <c r="J51" s="15">
        <f>I51 - H51</f>
        <v>-20211.919660190877</v>
      </c>
    </row>
    <row r="52" spans="1:10">
      <c r="A52" s="9">
        <v>15</v>
      </c>
      <c r="B52" s="17">
        <f>AVERAGE('Crawford Central School 26-27'!F16, 'Corry 23-24'!G17,'Mercer 26-27'!C16,'Erie School District 26-27'!I16) * $B$8</f>
        <v>70844.869116370464</v>
      </c>
      <c r="C52" s="12">
        <v>57999</v>
      </c>
      <c r="D52" s="19">
        <f>C52 - B52</f>
        <v>-12845.869116370464</v>
      </c>
      <c r="E52" s="13">
        <f>MIN('Crawford Central School 26-27'!F16, 'Corry 23-24'!G17,'Mercer 26-27'!C16,'Erie School District 26-27'!I16) * $B$8</f>
        <v>63328.03857774764</v>
      </c>
      <c r="F52" s="14">
        <v>57999</v>
      </c>
      <c r="G52" s="13">
        <f>F52 - E52</f>
        <v>-5329.0385777476404</v>
      </c>
      <c r="H52" s="15">
        <f>MAX('Crawford Central School 26-27'!F16, 'Corry 23-24'!G17,'Mercer 26-27'!C16,'Erie School District 26-27'!I16) * $B$8</f>
        <v>78384.076724321872</v>
      </c>
      <c r="I52" s="16">
        <v>57999</v>
      </c>
      <c r="J52" s="15">
        <f>I52 - H52</f>
        <v>-20385.076724321872</v>
      </c>
    </row>
    <row r="53" spans="1:10">
      <c r="A53" s="9">
        <v>16</v>
      </c>
      <c r="B53" s="17">
        <f>AVERAGE('Crawford Central School 26-27'!F17, 'Corry 23-24'!G18,'Mercer 26-27'!C17,'Erie School District 26-27'!I17) * $B$8</f>
        <v>71770.254170895802</v>
      </c>
      <c r="C53" s="12">
        <v>59299</v>
      </c>
      <c r="D53" s="19">
        <f>C53 - B53</f>
        <v>-12471.254170895802</v>
      </c>
      <c r="E53" s="13">
        <f>MIN('Crawford Central School 26-27'!F17, 'Corry 23-24'!G18,'Mercer 26-27'!C17,'Erie School District 26-27'!I17) * $B$8</f>
        <v>65676.698479359009</v>
      </c>
      <c r="F53" s="14">
        <v>59299</v>
      </c>
      <c r="G53" s="13">
        <f>F53 - E53</f>
        <v>-6377.6984793590091</v>
      </c>
      <c r="H53" s="15">
        <f>MAX('Crawford Central School 26-27'!F17, 'Corry 23-24'!G18,'Mercer 26-27'!C17,'Erie School District 26-27'!I17) * $B$8</f>
        <v>78384.076724321872</v>
      </c>
      <c r="I53" s="16">
        <v>59299</v>
      </c>
      <c r="J53" s="15">
        <f>I53 - H53</f>
        <v>-19085.076724321872</v>
      </c>
    </row>
    <row r="54" spans="1:10">
      <c r="A54" s="9">
        <v>17</v>
      </c>
      <c r="B54" s="17">
        <f>AVERAGE('Crawford Central School 26-27'!F18, 'Corry 23-24'!G19,'Mercer 26-27'!C18,'Erie School District 26-27'!I18) * $B$8</f>
        <v>72108.707344490453</v>
      </c>
      <c r="C54" s="12">
        <v>60849</v>
      </c>
      <c r="D54" s="19">
        <f>C54 - B54</f>
        <v>-11259.707344490453</v>
      </c>
      <c r="E54" s="13">
        <f>MIN('Crawford Central School 26-27'!F18, 'Corry 23-24'!G19,'Mercer 26-27'!C18,'Erie School District 26-27'!I18) * $B$8</f>
        <v>65676.698479359009</v>
      </c>
      <c r="F54" s="14">
        <v>60849</v>
      </c>
      <c r="G54" s="13">
        <f>F54 - E54</f>
        <v>-4827.6984793590091</v>
      </c>
      <c r="H54" s="15">
        <f>MAX('Crawford Central School 26-27'!F18, 'Corry 23-24'!G19,'Mercer 26-27'!C18,'Erie School District 26-27'!I18) * $B$8</f>
        <v>78384.076724321872</v>
      </c>
      <c r="I54" s="16">
        <v>60849</v>
      </c>
      <c r="J54" s="15">
        <f>I54 - H54</f>
        <v>-17535.076724321872</v>
      </c>
    </row>
    <row r="55" spans="1:10">
      <c r="A55" s="9">
        <v>18</v>
      </c>
      <c r="B55" s="17">
        <f>AVERAGE('Crawford Central School 26-27'!F19, 'Corry 23-24'!G20,'Mercer 26-27'!C19,'Erie School District 26-27'!I19) * $B$8</f>
        <v>72447.160518085104</v>
      </c>
      <c r="C55" s="12">
        <v>63449</v>
      </c>
      <c r="D55" s="19">
        <f>C55 - B55</f>
        <v>-8998.1605180851038</v>
      </c>
      <c r="E55" s="13">
        <f>MIN('Crawford Central School 26-27'!F19, 'Corry 23-24'!G20,'Mercer 26-27'!C19,'Erie School District 26-27'!I19) * $B$8</f>
        <v>65676.698479359009</v>
      </c>
      <c r="F55" s="14">
        <v>63449</v>
      </c>
      <c r="G55" s="13">
        <f>F55 - E55</f>
        <v>-2227.6984793590091</v>
      </c>
      <c r="H55" s="15">
        <f>MAX('Crawford Central School 26-27'!F19, 'Corry 23-24'!G20,'Mercer 26-27'!C19,'Erie School District 26-27'!I19) * $B$8</f>
        <v>78384.076724321872</v>
      </c>
      <c r="I55" s="16">
        <v>63449</v>
      </c>
      <c r="J55" s="15">
        <f>I55 - H55</f>
        <v>-14935.076724321872</v>
      </c>
    </row>
    <row r="56" spans="1:10">
      <c r="A56" s="9">
        <v>19</v>
      </c>
      <c r="B56" s="17">
        <f>AVERAGE('Crawford Central School 26-27'!F20, 'Corry 23-24'!G21,'Mercer 26-27'!C20,'Erie School District 26-27'!I20) * $B$8</f>
        <v>72447.160518085104</v>
      </c>
      <c r="C56" s="12">
        <v>67499</v>
      </c>
      <c r="D56" s="19">
        <f>C56 - B56</f>
        <v>-4948.1605180851038</v>
      </c>
      <c r="E56" s="13">
        <f>MIN('Crawford Central School 26-27'!F20, 'Corry 23-24'!G21,'Mercer 26-27'!C20,'Erie School District 26-27'!I20) * $B$8</f>
        <v>65676.698479359009</v>
      </c>
      <c r="F56" s="14">
        <v>67499</v>
      </c>
      <c r="G56" s="13">
        <f>F56 - E56</f>
        <v>1822.3015206409909</v>
      </c>
      <c r="H56" s="15">
        <f>MAX('Crawford Central School 26-27'!F20, 'Corry 23-24'!G21,'Mercer 26-27'!C20,'Erie School District 26-27'!I20) * $B$8</f>
        <v>78384.076724321872</v>
      </c>
      <c r="I56" s="16">
        <v>67499</v>
      </c>
      <c r="J56" s="15">
        <f>I56 - H56</f>
        <v>-10885.076724321872</v>
      </c>
    </row>
    <row r="57" spans="1:10">
      <c r="A57" s="9">
        <v>20</v>
      </c>
      <c r="B57" s="17">
        <f>AVERAGE('Crawford Central School 26-27'!F21, 'Corry 23-24'!G22,'Mercer 26-27'!C21,'Erie School District 26-27'!I21) * $B$8</f>
        <v>72447.160518085104</v>
      </c>
      <c r="C57" s="12">
        <v>71074</v>
      </c>
      <c r="D57" s="19">
        <f>C57 - B57</f>
        <v>-1373.1605180851038</v>
      </c>
      <c r="E57" s="13">
        <f>MIN('Crawford Central School 26-27'!F21, 'Corry 23-24'!G22,'Mercer 26-27'!C21,'Erie School District 26-27'!I21) * $B$8</f>
        <v>65676.698479359009</v>
      </c>
      <c r="F57" s="14">
        <v>71074</v>
      </c>
      <c r="G57" s="13">
        <f>F57 - E57</f>
        <v>5397.3015206409909</v>
      </c>
      <c r="H57" s="15">
        <f>MAX('Crawford Central School 26-27'!F21, 'Corry 23-24'!G22,'Mercer 26-27'!C21,'Erie School District 26-27'!I21) * $B$8</f>
        <v>78384.076724321872</v>
      </c>
      <c r="I57" s="16">
        <v>71074</v>
      </c>
      <c r="J57" s="15">
        <f>I57 - H57</f>
        <v>-7310.0767243218725</v>
      </c>
    </row>
    <row r="58" spans="1:10">
      <c r="A58" s="9">
        <v>21</v>
      </c>
      <c r="B58" s="17">
        <f>AVERAGE('Crawford Central School 26-27'!F22, 'Corry 23-24'!G23,'Mercer 26-27'!C22,'Erie School District 26-27'!I22) * $B$8</f>
        <v>72447.160518085104</v>
      </c>
      <c r="C58" s="12">
        <v>75615</v>
      </c>
      <c r="D58" s="19">
        <f>C58 - B58</f>
        <v>3167.8394819148962</v>
      </c>
      <c r="E58" s="13">
        <f>MIN('Crawford Central School 26-27'!F22, 'Corry 23-24'!G23,'Mercer 26-27'!C22,'Erie School District 26-27'!I22) * $B$8</f>
        <v>65676.698479359009</v>
      </c>
      <c r="F58" s="14">
        <v>75615</v>
      </c>
      <c r="G58" s="13">
        <f>F58 - E58</f>
        <v>9938.3015206409909</v>
      </c>
      <c r="H58" s="15">
        <f>MAX('Crawford Central School 26-27'!F22, 'Corry 23-24'!G23,'Mercer 26-27'!C22,'Erie School District 26-27'!I22) * $B$8</f>
        <v>78384.076724321872</v>
      </c>
      <c r="I58" s="16">
        <v>75615</v>
      </c>
      <c r="J58" s="15">
        <f>I58 - H58</f>
        <v>-2769.0767243218725</v>
      </c>
    </row>
    <row r="60" spans="1:10">
      <c r="A60" t="s">
        <v>74</v>
      </c>
    </row>
    <row r="61" spans="1:10">
      <c r="A61" s="5"/>
      <c r="B61" s="6" t="s">
        <v>60</v>
      </c>
      <c r="C61" s="5"/>
      <c r="D61" s="5"/>
      <c r="E61" s="7" t="s">
        <v>61</v>
      </c>
      <c r="F61" s="5"/>
      <c r="G61" s="5"/>
      <c r="H61" s="8" t="s">
        <v>62</v>
      </c>
      <c r="I61" s="5"/>
      <c r="J61" s="5"/>
    </row>
    <row r="62" spans="1:10">
      <c r="A62" s="9" t="s">
        <v>7</v>
      </c>
      <c r="B62" s="6" t="s">
        <v>86</v>
      </c>
      <c r="C62" s="6" t="s">
        <v>53</v>
      </c>
      <c r="D62" s="10" t="s">
        <v>64</v>
      </c>
      <c r="E62" s="7" t="s">
        <v>87</v>
      </c>
      <c r="F62" s="7" t="s">
        <v>53</v>
      </c>
      <c r="G62" s="7" t="s">
        <v>64</v>
      </c>
      <c r="H62" s="8" t="s">
        <v>88</v>
      </c>
      <c r="I62" s="8" t="s">
        <v>53</v>
      </c>
      <c r="J62" s="8" t="s">
        <v>64</v>
      </c>
    </row>
    <row r="63" spans="1:10">
      <c r="A63" s="9">
        <v>1</v>
      </c>
      <c r="B63" s="17">
        <f>AVERAGE('Crawford Central School 26-27'!G2, 'Corry 23-24'!H3,'Mercer 26-27'!D2,'Erie School District 26-27'!L2) * $B$8</f>
        <v>56037.542771604421</v>
      </c>
      <c r="C63" s="12">
        <v>0</v>
      </c>
      <c r="D63" s="18"/>
      <c r="E63" s="13">
        <f>MIN('Crawford Central School 26-27'!G2, 'Corry 23-24'!H3,'Mercer 26-27'!D2,'Erie School District 26-27'!L2) * $B$8</f>
        <v>48054.756383108514</v>
      </c>
      <c r="F63" s="14">
        <v>0</v>
      </c>
      <c r="G63" s="14"/>
      <c r="H63" s="15">
        <f>MAX('Crawford Central School 26-27'!G2, 'Corry 23-24'!H3,'Mercer 26-27'!D2,'Erie School District 26-27'!L2) * $B$8</f>
        <v>60173.80418030767</v>
      </c>
      <c r="I63" s="16">
        <v>0</v>
      </c>
      <c r="J63" s="16"/>
    </row>
    <row r="64" spans="1:10">
      <c r="A64" s="9">
        <v>2</v>
      </c>
      <c r="B64" s="17">
        <f>AVERAGE('Crawford Central School 26-27'!G3, 'Corry 23-24'!H4,'Mercer 26-27'!D3,'Erie School District 26-27'!L3) * $B$8</f>
        <v>56656.874784167092</v>
      </c>
      <c r="C64" s="12">
        <v>47749</v>
      </c>
      <c r="D64" s="19">
        <f>C64 - B64</f>
        <v>-8907.874784167092</v>
      </c>
      <c r="E64" s="13">
        <f>MIN('Crawford Central School 26-27'!G3, 'Corry 23-24'!H4,'Mercer 26-27'!D3,'Erie School District 26-27'!L3) * $B$8</f>
        <v>48492.973990793049</v>
      </c>
      <c r="F64" s="14">
        <v>47749</v>
      </c>
      <c r="G64" s="13">
        <f>F64 - E64</f>
        <v>-743.97399079304887</v>
      </c>
      <c r="H64" s="15">
        <f>MAX('Crawford Central School 26-27'!G3, 'Corry 23-24'!H4,'Mercer 26-27'!D3,'Erie School District 26-27'!L3) * $B$8</f>
        <v>60618.548433213036</v>
      </c>
      <c r="I64" s="16">
        <v>47749</v>
      </c>
      <c r="J64" s="15">
        <f>I64 - H64</f>
        <v>-12869.548433213036</v>
      </c>
    </row>
    <row r="65" spans="1:10">
      <c r="A65" s="9">
        <v>3</v>
      </c>
      <c r="B65" s="17">
        <f>AVERAGE('Crawford Central School 26-27'!G4, 'Corry 23-24'!H5,'Mercer 26-27'!D4,'Erie School District 26-27'!L4) * $B$8</f>
        <v>57272.94347411934</v>
      </c>
      <c r="C65" s="12">
        <v>48349</v>
      </c>
      <c r="D65" s="19">
        <f>C65 - B65</f>
        <v>-8923.94347411934</v>
      </c>
      <c r="E65" s="13">
        <f>MIN('Crawford Central School 26-27'!G4, 'Corry 23-24'!H5,'Mercer 26-27'!D4,'Erie School District 26-27'!L4) * $B$8</f>
        <v>48918.138308035916</v>
      </c>
      <c r="F65" s="14">
        <v>48349</v>
      </c>
      <c r="G65" s="13">
        <f>F65 - E65</f>
        <v>-569.13830803591554</v>
      </c>
      <c r="H65" s="15">
        <f>MAX('Crawford Central School 26-27'!G4, 'Corry 23-24'!H5,'Mercer 26-27'!D4,'Erie School District 26-27'!L4) * $B$8</f>
        <v>62091.705497344032</v>
      </c>
      <c r="I65" s="16">
        <v>48349</v>
      </c>
      <c r="J65" s="15">
        <f>I65 - H65</f>
        <v>-13742.705497344032</v>
      </c>
    </row>
    <row r="66" spans="1:10">
      <c r="A66" s="9">
        <v>4</v>
      </c>
      <c r="B66" s="17">
        <f>AVERAGE('Crawford Central School 26-27'!G5, 'Corry 23-24'!H6,'Mercer 26-27'!D5,'Erie School District 26-27'!L5) * $B$8</f>
        <v>57901.599265568912</v>
      </c>
      <c r="C66" s="12">
        <v>48949</v>
      </c>
      <c r="D66" s="19">
        <f>C66 - B66</f>
        <v>-8952.5992655689115</v>
      </c>
      <c r="E66" s="13">
        <f>MIN('Crawford Central School 26-27'!G5, 'Corry 23-24'!H6,'Mercer 26-27'!D5,'Erie School District 26-27'!L5) * $B$8</f>
        <v>49393.651031268077</v>
      </c>
      <c r="F66" s="14">
        <v>48949</v>
      </c>
      <c r="G66" s="13">
        <f>F66 - E66</f>
        <v>-444.65103126807662</v>
      </c>
      <c r="H66" s="15">
        <f>MAX('Crawford Central School 26-27'!G5, 'Corry 23-24'!H6,'Mercer 26-27'!D5,'Erie School District 26-27'!L5) * $B$8</f>
        <v>63564.862561475027</v>
      </c>
      <c r="I66" s="16">
        <v>48949</v>
      </c>
      <c r="J66" s="15">
        <f>I66 - H66</f>
        <v>-14615.862561475027</v>
      </c>
    </row>
    <row r="67" spans="1:10">
      <c r="A67" s="9">
        <v>5</v>
      </c>
      <c r="B67" s="17">
        <f>AVERAGE('Crawford Central School 26-27'!G6, 'Corry 23-24'!H7,'Mercer 26-27'!D6,'Erie School District 26-27'!L6) * $B$8</f>
        <v>59017.189409387101</v>
      </c>
      <c r="C67" s="12">
        <v>49949</v>
      </c>
      <c r="D67" s="19">
        <f>C67 - B67</f>
        <v>-9068.1894093871015</v>
      </c>
      <c r="E67" s="13">
        <f>MIN('Crawford Central School 26-27'!G6, 'Corry 23-24'!H7,'Mercer 26-27'!D6,'Erie School District 26-27'!L6) * $B$8</f>
        <v>49817.882970622253</v>
      </c>
      <c r="F67" s="14">
        <v>49949</v>
      </c>
      <c r="G67" s="13">
        <f>F67 - E67</f>
        <v>131.1170293777468</v>
      </c>
      <c r="H67" s="15">
        <f>MAX('Crawford Central School 26-27'!G6, 'Corry 23-24'!H7,'Mercer 26-27'!D6,'Erie School District 26-27'!L6) * $B$8</f>
        <v>65038.019625606023</v>
      </c>
      <c r="I67" s="16">
        <v>49949</v>
      </c>
      <c r="J67" s="15">
        <f>I67 - H67</f>
        <v>-15089.019625606023</v>
      </c>
    </row>
    <row r="68" spans="1:10">
      <c r="A68" s="9">
        <v>6</v>
      </c>
      <c r="B68" s="17">
        <f>AVERAGE('Crawford Central School 26-27'!G7, 'Corry 23-24'!H8,'Mercer 26-27'!D7,'Erie School District 26-27'!L7) * $B$8</f>
        <v>60099.447043684602</v>
      </c>
      <c r="C68" s="12">
        <v>50949</v>
      </c>
      <c r="D68" s="19">
        <f>C68 - B68</f>
        <v>-9150.4470436846022</v>
      </c>
      <c r="E68" s="13">
        <f>MIN('Crawford Central School 26-27'!G7, 'Corry 23-24'!H8,'Mercer 26-27'!D7,'Erie School District 26-27'!L7) * $B$8</f>
        <v>51226.705960433603</v>
      </c>
      <c r="F68" s="14">
        <v>50949</v>
      </c>
      <c r="G68" s="13">
        <f>F68 - E68</f>
        <v>-277.70596043360274</v>
      </c>
      <c r="H68" s="15">
        <f>MAX('Crawford Central School 26-27'!G7, 'Corry 23-24'!H8,'Mercer 26-27'!D7,'Erie School District 26-27'!L7) * $B$8</f>
        <v>66511.176689737011</v>
      </c>
      <c r="I68" s="16">
        <v>50949</v>
      </c>
      <c r="J68" s="15">
        <f>I68 - H68</f>
        <v>-15562.176689737011</v>
      </c>
    </row>
    <row r="69" spans="1:10">
      <c r="A69" s="9">
        <v>7</v>
      </c>
      <c r="B69" s="17">
        <f>AVERAGE('Crawford Central School 26-27'!G8, 'Corry 23-24'!H9,'Mercer 26-27'!D8,'Erie School District 26-27'!L8) * $B$8</f>
        <v>61191.494645813349</v>
      </c>
      <c r="C69" s="12">
        <v>51999</v>
      </c>
      <c r="D69" s="19">
        <f>C69 - B69</f>
        <v>-9192.4946458133491</v>
      </c>
      <c r="E69" s="13">
        <f>MIN('Crawford Central School 26-27'!G8, 'Corry 23-24'!H9,'Mercer 26-27'!D8,'Erie School District 26-27'!L8) * $B$8</f>
        <v>52628.069927135431</v>
      </c>
      <c r="F69" s="14">
        <v>51999</v>
      </c>
      <c r="G69" s="13">
        <f>F69 - E69</f>
        <v>-629.0699271354315</v>
      </c>
      <c r="H69" s="15">
        <f>MAX('Crawford Central School 26-27'!G8, 'Corry 23-24'!H9,'Mercer 26-27'!D8,'Erie School District 26-27'!L8) * $B$8</f>
        <v>67984.333753868006</v>
      </c>
      <c r="I69" s="16">
        <v>51999</v>
      </c>
      <c r="J69" s="15">
        <f>I69 - H69</f>
        <v>-15985.333753868006</v>
      </c>
    </row>
    <row r="70" spans="1:10">
      <c r="A70" s="9">
        <v>8</v>
      </c>
      <c r="B70" s="17">
        <f>AVERAGE('Crawford Central School 26-27'!G9, 'Corry 23-24'!H10,'Mercer 26-27'!D9,'Erie School District 26-27'!L9) * $B$8</f>
        <v>62484.469682954907</v>
      </c>
      <c r="C70" s="12">
        <v>52899</v>
      </c>
      <c r="D70" s="19">
        <f>C70 - B70</f>
        <v>-9585.4696829549066</v>
      </c>
      <c r="E70" s="13">
        <f>MIN('Crawford Central School 26-27'!G9, 'Corry 23-24'!H10,'Mercer 26-27'!D9,'Erie School District 26-27'!L9) * $B$8</f>
        <v>54101.22699126642</v>
      </c>
      <c r="F70" s="14">
        <v>52899</v>
      </c>
      <c r="G70" s="13">
        <f>F70 - E70</f>
        <v>-1202.2269912664196</v>
      </c>
      <c r="H70" s="15">
        <f>MAX('Crawford Central School 26-27'!G9, 'Corry 23-24'!H10,'Mercer 26-27'!D9,'Erie School District 26-27'!L9) * $B$8</f>
        <v>69457.490817999002</v>
      </c>
      <c r="I70" s="16">
        <v>52899</v>
      </c>
      <c r="J70" s="15">
        <f>I70 - H70</f>
        <v>-16558.490817999002</v>
      </c>
    </row>
    <row r="71" spans="1:10">
      <c r="A71" s="9">
        <v>9</v>
      </c>
      <c r="B71" s="17">
        <f>AVERAGE('Crawford Central School 26-27'!G10, 'Corry 23-24'!H11,'Mercer 26-27'!D10,'Erie School District 26-27'!L10) * $B$8</f>
        <v>63797.257750231132</v>
      </c>
      <c r="C71" s="12">
        <v>53699</v>
      </c>
      <c r="D71" s="19">
        <f>C71 - B71</f>
        <v>-10098.257750231132</v>
      </c>
      <c r="E71" s="13">
        <f>MIN('Crawford Central School 26-27'!G10, 'Corry 23-24'!H11,'Mercer 26-27'!D10,'Erie School District 26-27'!L10) * $B$8</f>
        <v>55643.380019160511</v>
      </c>
      <c r="F71" s="14">
        <v>53699</v>
      </c>
      <c r="G71" s="13">
        <f>F71 - E71</f>
        <v>-1944.3800191605114</v>
      </c>
      <c r="H71" s="15">
        <f>MAX('Crawford Central School 26-27'!G10, 'Corry 23-24'!H11,'Mercer 26-27'!D10,'Erie School District 26-27'!L10) * $B$8</f>
        <v>70930.647882129997</v>
      </c>
      <c r="I71" s="16">
        <v>53699</v>
      </c>
      <c r="J71" s="15">
        <f>I71 - H71</f>
        <v>-17231.647882129997</v>
      </c>
    </row>
    <row r="72" spans="1:10">
      <c r="A72" s="9">
        <v>10</v>
      </c>
      <c r="B72" s="17">
        <f>AVERAGE('Crawford Central School 26-27'!G11, 'Corry 23-24'!H12,'Mercer 26-27'!D11,'Erie School District 26-27'!L11) * $B$8</f>
        <v>65086.270181345753</v>
      </c>
      <c r="C72" s="12">
        <v>54549</v>
      </c>
      <c r="D72" s="19">
        <f>C72 - B72</f>
        <v>-10537.270181345753</v>
      </c>
      <c r="E72" s="13">
        <f>MIN('Crawford Central School 26-27'!G11, 'Corry 23-24'!H12,'Mercer 26-27'!D11,'Erie School District 26-27'!L11) * $B$8</f>
        <v>57115.604705402817</v>
      </c>
      <c r="F72" s="14">
        <v>54549</v>
      </c>
      <c r="G72" s="13">
        <f>F72 - E72</f>
        <v>-2566.6047054028168</v>
      </c>
      <c r="H72" s="15">
        <f>MAX('Crawford Central School 26-27'!G11, 'Corry 23-24'!H12,'Mercer 26-27'!D11,'Erie School District 26-27'!L11) * $B$8</f>
        <v>72403.804946260992</v>
      </c>
      <c r="I72" s="16">
        <v>54549</v>
      </c>
      <c r="J72" s="15">
        <f>I72 - H72</f>
        <v>-17854.804946260992</v>
      </c>
    </row>
    <row r="73" spans="1:10">
      <c r="A73" s="9">
        <v>11</v>
      </c>
      <c r="B73" s="17">
        <f>AVERAGE('Crawford Central School 26-27'!G12, 'Corry 23-24'!H13,'Mercer 26-27'!D12,'Erie School District 26-27'!L12) * $B$8</f>
        <v>66683.666599144752</v>
      </c>
      <c r="C73" s="12">
        <v>55299</v>
      </c>
      <c r="D73" s="19">
        <f>C73 - B73</f>
        <v>-11384.666599144752</v>
      </c>
      <c r="E73" s="13">
        <f>MIN('Crawford Central School 26-27'!G12, 'Corry 23-24'!H13,'Mercer 26-27'!D12,'Erie School District 26-27'!L12) * $B$8</f>
        <v>58588.761769533812</v>
      </c>
      <c r="F73" s="14">
        <v>55299</v>
      </c>
      <c r="G73" s="13">
        <f>F73 - E73</f>
        <v>-3289.7617695338122</v>
      </c>
      <c r="H73" s="15">
        <f>MAX('Crawford Central School 26-27'!G12, 'Corry 23-24'!H13,'Mercer 26-27'!D12,'Erie School District 26-27'!L12) * $B$8</f>
        <v>73876.962010391988</v>
      </c>
      <c r="I73" s="16">
        <v>55299</v>
      </c>
      <c r="J73" s="15">
        <f>I73 - H73</f>
        <v>-18577.962010391988</v>
      </c>
    </row>
    <row r="74" spans="1:10">
      <c r="A74" s="9">
        <v>12</v>
      </c>
      <c r="B74" s="17">
        <f>AVERAGE('Crawford Central School 26-27'!G13, 'Corry 23-24'!H14,'Mercer 26-27'!D13,'Erie School District 26-27'!L13) * $B$8</f>
        <v>68280.596827999412</v>
      </c>
      <c r="C74" s="12">
        <v>55949</v>
      </c>
      <c r="D74" s="19">
        <f>C74 - B74</f>
        <v>-12331.596827999412</v>
      </c>
      <c r="E74" s="13">
        <f>MIN('Crawford Central School 26-27'!G13, 'Corry 23-24'!H14,'Mercer 26-27'!D13,'Erie School District 26-27'!L13) * $B$8</f>
        <v>60060.054077887427</v>
      </c>
      <c r="F74" s="14">
        <v>55949</v>
      </c>
      <c r="G74" s="13">
        <f>F74 - E74</f>
        <v>-4111.0540778874274</v>
      </c>
      <c r="H74" s="15">
        <f>MAX('Crawford Central School 26-27'!G13, 'Corry 23-24'!H14,'Mercer 26-27'!D13,'Erie School District 26-27'!L13) * $B$8</f>
        <v>75350.119074522983</v>
      </c>
      <c r="I74" s="16">
        <v>55949</v>
      </c>
      <c r="J74" s="15">
        <f>I74 - H74</f>
        <v>-19401.119074522983</v>
      </c>
    </row>
    <row r="75" spans="1:10">
      <c r="A75" s="9">
        <v>13</v>
      </c>
      <c r="B75" s="17">
        <f>AVERAGE('Crawford Central School 26-27'!G14, 'Corry 23-24'!H15,'Mercer 26-27'!D14,'Erie School District 26-27'!L14) * $B$8</f>
        <v>69877.760151326249</v>
      </c>
      <c r="C75" s="12">
        <v>56699</v>
      </c>
      <c r="D75" s="19">
        <f>C75 - B75</f>
        <v>-13178.760151326249</v>
      </c>
      <c r="E75" s="13">
        <f>MIN('Crawford Central School 26-27'!G14, 'Corry 23-24'!H15,'Mercer 26-27'!D14,'Erie School District 26-27'!L14) * $B$8</f>
        <v>61532.278764129733</v>
      </c>
      <c r="F75" s="14">
        <v>56699</v>
      </c>
      <c r="G75" s="13">
        <f>F75 - E75</f>
        <v>-4833.2787641297327</v>
      </c>
      <c r="H75" s="15">
        <f>MAX('Crawford Central School 26-27'!G14, 'Corry 23-24'!H15,'Mercer 26-27'!D14,'Erie School District 26-27'!L14) * $B$8</f>
        <v>76823.276138653979</v>
      </c>
      <c r="I75" s="16">
        <v>56699</v>
      </c>
      <c r="J75" s="15">
        <f>I75 - H75</f>
        <v>-20124.276138653979</v>
      </c>
    </row>
    <row r="76" spans="1:10">
      <c r="A76" s="9">
        <v>14</v>
      </c>
      <c r="B76" s="17">
        <f>AVERAGE('Crawford Central School 26-27'!G15, 'Corry 23-24'!H16,'Mercer 26-27'!D15,'Erie School District 26-27'!L15) * $B$8</f>
        <v>71474.690380180909</v>
      </c>
      <c r="C76" s="12">
        <v>57699</v>
      </c>
      <c r="D76" s="19">
        <f>C76 - B76</f>
        <v>-13775.690380180909</v>
      </c>
      <c r="E76" s="13">
        <f>MIN('Crawford Central School 26-27'!G15, 'Corry 23-24'!H16,'Mercer 26-27'!D15,'Erie School District 26-27'!L15) * $B$8</f>
        <v>63004.503450372031</v>
      </c>
      <c r="F76" s="14">
        <v>57699</v>
      </c>
      <c r="G76" s="13">
        <f>F76 - E76</f>
        <v>-5305.5034503720308</v>
      </c>
      <c r="H76" s="15">
        <f>MAX('Crawford Central School 26-27'!G15, 'Corry 23-24'!H16,'Mercer 26-27'!D15,'Erie School District 26-27'!L15) * $B$8</f>
        <v>78296.433202784974</v>
      </c>
      <c r="I76" s="16">
        <v>57699</v>
      </c>
      <c r="J76" s="15">
        <f>I76 - H76</f>
        <v>-20597.433202784974</v>
      </c>
    </row>
    <row r="77" spans="1:10">
      <c r="A77" s="9">
        <v>15</v>
      </c>
      <c r="B77" s="17">
        <f>AVERAGE('Crawford Central School 26-27'!G16, 'Corry 23-24'!H17,'Mercer 26-27'!D16,'Erie School District 26-27'!L16) * $B$8</f>
        <v>72582.821500889564</v>
      </c>
      <c r="C77" s="12">
        <v>58999</v>
      </c>
      <c r="D77" s="19">
        <f>C77 - B77</f>
        <v>-13583.821500889564</v>
      </c>
      <c r="E77" s="13">
        <f>MIN('Crawford Central School 26-27'!G16, 'Corry 23-24'!H17,'Mercer 26-27'!D16,'Erie School District 26-27'!L16) * $B$8</f>
        <v>64610.058174697078</v>
      </c>
      <c r="F77" s="14">
        <v>58999</v>
      </c>
      <c r="G77" s="13">
        <f>F77 - E77</f>
        <v>-5611.0581746970784</v>
      </c>
      <c r="H77" s="15">
        <f>MAX('Crawford Central School 26-27'!G16, 'Corry 23-24'!H17,'Mercer 26-27'!D16,'Erie School District 26-27'!L16) * $B$8</f>
        <v>79769.59026691597</v>
      </c>
      <c r="I77" s="16">
        <v>58999</v>
      </c>
      <c r="J77" s="15">
        <f>I77 - H77</f>
        <v>-20770.59026691597</v>
      </c>
    </row>
    <row r="78" spans="1:10">
      <c r="A78" s="9">
        <v>16</v>
      </c>
      <c r="B78" s="17">
        <f>AVERAGE('Crawford Central School 26-27'!G17, 'Corry 23-24'!H18,'Mercer 26-27'!D17,'Erie School District 26-27'!L17) * $B$8</f>
        <v>73508.439649887063</v>
      </c>
      <c r="C78" s="12">
        <v>60299</v>
      </c>
      <c r="D78" s="19">
        <f>C78 - B78</f>
        <v>-13209.439649887063</v>
      </c>
      <c r="E78" s="13">
        <f>MIN('Crawford Central School 26-27'!G17, 'Corry 23-24'!H18,'Mercer 26-27'!D17,'Erie School District 26-27'!L17) * $B$8</f>
        <v>66958.718076308462</v>
      </c>
      <c r="F78" s="14">
        <v>60299</v>
      </c>
      <c r="G78" s="13">
        <f>F78 - E78</f>
        <v>-6659.7180763084616</v>
      </c>
      <c r="H78" s="15">
        <f>MAX('Crawford Central School 26-27'!G17, 'Corry 23-24'!H18,'Mercer 26-27'!D17,'Erie School District 26-27'!L17) * $B$8</f>
        <v>79769.59026691597</v>
      </c>
      <c r="I78" s="16">
        <v>60299</v>
      </c>
      <c r="J78" s="15">
        <f>I78 - H78</f>
        <v>-19470.59026691597</v>
      </c>
    </row>
    <row r="79" spans="1:10">
      <c r="A79" s="9">
        <v>17</v>
      </c>
      <c r="B79" s="17">
        <f>AVERAGE('Crawford Central School 26-27'!G18, 'Corry 23-24'!H19,'Mercer 26-27'!D18,'Erie School District 26-27'!L18) * $B$8</f>
        <v>73846.892823481714</v>
      </c>
      <c r="C79" s="12">
        <v>61849</v>
      </c>
      <c r="D79" s="19">
        <f>C79 - B79</f>
        <v>-11997.892823481714</v>
      </c>
      <c r="E79" s="13">
        <f>MIN('Crawford Central School 26-27'!G18, 'Corry 23-24'!H19,'Mercer 26-27'!D18,'Erie School District 26-27'!L18) * $B$8</f>
        <v>66958.718076308462</v>
      </c>
      <c r="F79" s="14">
        <v>61849</v>
      </c>
      <c r="G79" s="13">
        <f>F79 - E79</f>
        <v>-5109.7180763084616</v>
      </c>
      <c r="H79" s="15">
        <f>MAX('Crawford Central School 26-27'!G18, 'Corry 23-24'!H19,'Mercer 26-27'!D18,'Erie School District 26-27'!L18) * $B$8</f>
        <v>79769.59026691597</v>
      </c>
      <c r="I79" s="16">
        <v>61849</v>
      </c>
      <c r="J79" s="15">
        <f>I79 - H79</f>
        <v>-17920.59026691597</v>
      </c>
    </row>
    <row r="80" spans="1:10">
      <c r="A80" s="9">
        <v>18</v>
      </c>
      <c r="B80" s="17">
        <f>AVERAGE('Crawford Central School 26-27'!G19, 'Corry 23-24'!H20,'Mercer 26-27'!D19,'Erie School District 26-27'!L19) * $B$8</f>
        <v>74185.112902604204</v>
      </c>
      <c r="C80" s="12">
        <v>64449</v>
      </c>
      <c r="D80" s="19">
        <f>C80 - B80</f>
        <v>-9736.1129026042036</v>
      </c>
      <c r="E80" s="13">
        <f>MIN('Crawford Central School 26-27'!G19, 'Corry 23-24'!H20,'Mercer 26-27'!D19,'Erie School District 26-27'!L19) * $B$8</f>
        <v>66958.718076308462</v>
      </c>
      <c r="F80" s="14">
        <v>64449</v>
      </c>
      <c r="G80" s="13">
        <f>F80 - E80</f>
        <v>-2509.7180763084616</v>
      </c>
      <c r="H80" s="15">
        <f>MAX('Crawford Central School 26-27'!G19, 'Corry 23-24'!H20,'Mercer 26-27'!D19,'Erie School District 26-27'!L19) * $B$8</f>
        <v>79769.59026691597</v>
      </c>
      <c r="I80" s="16">
        <v>64449</v>
      </c>
      <c r="J80" s="15">
        <f>I80 - H80</f>
        <v>-15320.59026691597</v>
      </c>
    </row>
    <row r="81" spans="1:10">
      <c r="A81" s="9">
        <v>19</v>
      </c>
      <c r="B81" s="17">
        <f>AVERAGE('Crawford Central School 26-27'!G20, 'Corry 23-24'!H21,'Mercer 26-27'!D20,'Erie School District 26-27'!L20) * $B$8</f>
        <v>74185.112902604204</v>
      </c>
      <c r="C81" s="12">
        <v>68499</v>
      </c>
      <c r="D81" s="19">
        <f>C81 - B81</f>
        <v>-5686.1129026042036</v>
      </c>
      <c r="E81" s="13">
        <f>MIN('Crawford Central School 26-27'!G20, 'Corry 23-24'!H21,'Mercer 26-27'!D20,'Erie School District 26-27'!L20) * $B$8</f>
        <v>66958.718076308462</v>
      </c>
      <c r="F81" s="14">
        <v>68499</v>
      </c>
      <c r="G81" s="13">
        <f>F81 - E81</f>
        <v>1540.2819236915384</v>
      </c>
      <c r="H81" s="15">
        <f>MAX('Crawford Central School 26-27'!G20, 'Corry 23-24'!H21,'Mercer 26-27'!D20,'Erie School District 26-27'!L20) * $B$8</f>
        <v>79769.59026691597</v>
      </c>
      <c r="I81" s="16">
        <v>68499</v>
      </c>
      <c r="J81" s="15">
        <f>I81 - H81</f>
        <v>-11270.59026691597</v>
      </c>
    </row>
    <row r="82" spans="1:10">
      <c r="A82" s="9">
        <v>20</v>
      </c>
      <c r="B82" s="17">
        <f>AVERAGE('Crawford Central School 26-27'!G21, 'Corry 23-24'!H22,'Mercer 26-27'!D21,'Erie School District 26-27'!L21) * $B$8</f>
        <v>74185.112902604204</v>
      </c>
      <c r="C82" s="12">
        <v>72074</v>
      </c>
      <c r="D82" s="19">
        <f>C82 - B82</f>
        <v>-2111.1129026042036</v>
      </c>
      <c r="E82" s="13">
        <f>MIN('Crawford Central School 26-27'!G21, 'Corry 23-24'!H22,'Mercer 26-27'!D21,'Erie School District 26-27'!L21) * $B$8</f>
        <v>66958.718076308462</v>
      </c>
      <c r="F82" s="14">
        <v>72074</v>
      </c>
      <c r="G82" s="13">
        <f>F82 - E82</f>
        <v>5115.2819236915384</v>
      </c>
      <c r="H82" s="15">
        <f>MAX('Crawford Central School 26-27'!G21, 'Corry 23-24'!H22,'Mercer 26-27'!D21,'Erie School District 26-27'!L21) * $B$8</f>
        <v>79769.59026691597</v>
      </c>
      <c r="I82" s="16">
        <v>72074</v>
      </c>
      <c r="J82" s="15">
        <f>I82 - H82</f>
        <v>-7695.5902669159696</v>
      </c>
    </row>
    <row r="83" spans="1:10">
      <c r="A83" s="9">
        <v>21</v>
      </c>
      <c r="B83" s="17">
        <f>AVERAGE('Crawford Central School 26-27'!G22, 'Corry 23-24'!H23,'Mercer 26-27'!D22,'Erie School District 26-27'!L22) * $B$8</f>
        <v>74185.112902604204</v>
      </c>
      <c r="C83" s="12">
        <v>75715</v>
      </c>
      <c r="D83" s="19">
        <f>C83 - B83</f>
        <v>1529.8870973957964</v>
      </c>
      <c r="E83" s="13">
        <f>MIN('Crawford Central School 26-27'!G22, 'Corry 23-24'!H23,'Mercer 26-27'!D22,'Erie School District 26-27'!L22) * $B$8</f>
        <v>66958.718076308462</v>
      </c>
      <c r="F83" s="14">
        <v>75715</v>
      </c>
      <c r="G83" s="13">
        <f>F83 - E83</f>
        <v>8756.2819236915384</v>
      </c>
      <c r="H83" s="15">
        <f>MAX('Crawford Central School 26-27'!G22, 'Corry 23-24'!H23,'Mercer 26-27'!D22,'Erie School District 26-27'!L22) * $B$8</f>
        <v>79769.59026691597</v>
      </c>
      <c r="I83" s="16">
        <v>75715</v>
      </c>
      <c r="J83" s="15">
        <f>I83 - H83</f>
        <v>-4054.5902669159696</v>
      </c>
    </row>
  </sheetData>
  <conditionalFormatting sqref="B13:J33">
    <cfRule type="cellIs" dxfId="2" priority="3" operator="lessThan">
      <formula>0</formula>
    </cfRule>
  </conditionalFormatting>
  <conditionalFormatting sqref="B38:J58">
    <cfRule type="cellIs" dxfId="1" priority="2" operator="lessThan">
      <formula>0</formula>
    </cfRule>
  </conditionalFormatting>
  <conditionalFormatting sqref="B63:J83">
    <cfRule type="cellIs" dxfId="0" priority="1" operator="lessThan">
      <formula>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08C4-1F34-4FF0-900F-A7D452D2DD55}">
  <dimension ref="A1:L29"/>
  <sheetViews>
    <sheetView topLeftCell="A5" workbookViewId="0">
      <selection activeCell="F19" sqref="F19"/>
    </sheetView>
  </sheetViews>
  <sheetFormatPr defaultRowHeight="15"/>
  <sheetData>
    <row r="1" spans="1:12">
      <c r="A1" t="s">
        <v>89</v>
      </c>
    </row>
    <row r="3" spans="1:12">
      <c r="A3" t="s">
        <v>90</v>
      </c>
    </row>
    <row r="5" spans="1:12">
      <c r="A5" t="s">
        <v>91</v>
      </c>
    </row>
    <row r="7" spans="1:12">
      <c r="A7" t="s">
        <v>92</v>
      </c>
    </row>
    <row r="11" spans="1:12">
      <c r="A11" t="s">
        <v>93</v>
      </c>
      <c r="C11" t="s">
        <v>94</v>
      </c>
      <c r="D11" t="s">
        <v>95</v>
      </c>
      <c r="E11" t="s">
        <v>96</v>
      </c>
      <c r="G11" t="s">
        <v>97</v>
      </c>
      <c r="I11" t="s">
        <v>98</v>
      </c>
      <c r="K11" t="s">
        <v>95</v>
      </c>
      <c r="L11" t="s">
        <v>96</v>
      </c>
    </row>
    <row r="12" spans="1:12" ht="72.75">
      <c r="A12" s="20" t="s">
        <v>99</v>
      </c>
      <c r="B12" s="31" t="s">
        <v>100</v>
      </c>
      <c r="C12" s="32" t="s">
        <v>101</v>
      </c>
      <c r="D12" s="20" t="s">
        <v>102</v>
      </c>
      <c r="E12" s="20" t="s">
        <v>103</v>
      </c>
      <c r="G12" t="s">
        <v>104</v>
      </c>
      <c r="I12" t="s">
        <v>105</v>
      </c>
      <c r="K12" t="s">
        <v>102</v>
      </c>
    </row>
    <row r="13" spans="1:12" ht="87">
      <c r="A13" t="s">
        <v>106</v>
      </c>
      <c r="B13" s="24" t="s">
        <v>107</v>
      </c>
      <c r="C13" t="s">
        <v>108</v>
      </c>
      <c r="D13" t="s">
        <v>102</v>
      </c>
      <c r="G13" s="20" t="s">
        <v>109</v>
      </c>
      <c r="H13" s="20"/>
      <c r="I13" s="20" t="s">
        <v>110</v>
      </c>
      <c r="J13" s="20"/>
      <c r="K13" s="20" t="s">
        <v>102</v>
      </c>
      <c r="L13" s="20" t="s">
        <v>111</v>
      </c>
    </row>
    <row r="14" spans="1:12" ht="87">
      <c r="A14" t="s">
        <v>112</v>
      </c>
      <c r="B14" s="24" t="s">
        <v>113</v>
      </c>
      <c r="C14" t="s">
        <v>114</v>
      </c>
      <c r="D14" s="26">
        <v>46032</v>
      </c>
      <c r="E14" t="s">
        <v>115</v>
      </c>
      <c r="G14" t="s">
        <v>116</v>
      </c>
      <c r="I14" s="23" t="s">
        <v>117</v>
      </c>
      <c r="K14" t="s">
        <v>102</v>
      </c>
      <c r="L14" t="s">
        <v>118</v>
      </c>
    </row>
    <row r="15" spans="1:12" ht="57.75">
      <c r="A15" t="s">
        <v>119</v>
      </c>
      <c r="B15" s="24" t="s">
        <v>120</v>
      </c>
      <c r="C15" s="23" t="s">
        <v>121</v>
      </c>
      <c r="D15" s="26">
        <v>46032</v>
      </c>
      <c r="G15" s="20" t="s">
        <v>122</v>
      </c>
      <c r="H15" s="20"/>
      <c r="I15" s="20" t="s">
        <v>123</v>
      </c>
      <c r="J15" s="20"/>
      <c r="K15" s="20" t="s">
        <v>102</v>
      </c>
      <c r="L15" s="20" t="s">
        <v>124</v>
      </c>
    </row>
    <row r="16" spans="1:12" ht="72.75">
      <c r="A16" t="s">
        <v>125</v>
      </c>
      <c r="B16" s="24" t="s">
        <v>126</v>
      </c>
      <c r="C16" t="s">
        <v>127</v>
      </c>
      <c r="D16" t="s">
        <v>102</v>
      </c>
      <c r="G16" t="s">
        <v>128</v>
      </c>
    </row>
    <row r="17" spans="1:11" ht="72.75">
      <c r="A17" t="s">
        <v>129</v>
      </c>
      <c r="B17" s="24" t="s">
        <v>130</v>
      </c>
      <c r="C17" t="s">
        <v>131</v>
      </c>
      <c r="D17" t="s">
        <v>102</v>
      </c>
      <c r="G17" t="s">
        <v>132</v>
      </c>
    </row>
    <row r="18" spans="1:11" ht="87">
      <c r="A18" s="20" t="s">
        <v>133</v>
      </c>
      <c r="B18" s="31" t="s">
        <v>134</v>
      </c>
      <c r="C18" s="20" t="s">
        <v>135</v>
      </c>
      <c r="D18" s="20" t="s">
        <v>102</v>
      </c>
      <c r="E18" s="20" t="s">
        <v>124</v>
      </c>
      <c r="G18" t="s">
        <v>136</v>
      </c>
    </row>
    <row r="19" spans="1:11" ht="216.75">
      <c r="A19" s="29" t="s">
        <v>137</v>
      </c>
      <c r="B19" s="28" t="s">
        <v>138</v>
      </c>
      <c r="C19" s="29" t="s">
        <v>139</v>
      </c>
      <c r="D19" s="29" t="s">
        <v>102</v>
      </c>
      <c r="E19" s="30" t="s">
        <v>140</v>
      </c>
      <c r="G19" t="s">
        <v>141</v>
      </c>
      <c r="J19" t="s">
        <v>142</v>
      </c>
      <c r="K19" t="s">
        <v>102</v>
      </c>
    </row>
    <row r="20" spans="1:11" ht="72.75">
      <c r="A20" t="s">
        <v>143</v>
      </c>
      <c r="B20" s="24" t="s">
        <v>144</v>
      </c>
      <c r="C20" s="23" t="s">
        <v>145</v>
      </c>
      <c r="D20" t="s">
        <v>102</v>
      </c>
      <c r="G20" t="s">
        <v>146</v>
      </c>
      <c r="J20" t="s">
        <v>147</v>
      </c>
      <c r="K20" t="s">
        <v>102</v>
      </c>
    </row>
    <row r="21" spans="1:11" ht="72.75">
      <c r="A21" t="s">
        <v>148</v>
      </c>
      <c r="B21" s="24" t="s">
        <v>149</v>
      </c>
      <c r="C21" t="s">
        <v>150</v>
      </c>
      <c r="D21" s="26">
        <v>46032</v>
      </c>
      <c r="G21" t="s">
        <v>151</v>
      </c>
      <c r="J21" s="25" t="s">
        <v>152</v>
      </c>
      <c r="K21" t="s">
        <v>102</v>
      </c>
    </row>
    <row r="22" spans="1:11" ht="101.25">
      <c r="A22" s="20" t="s">
        <v>153</v>
      </c>
      <c r="B22" s="31" t="s">
        <v>154</v>
      </c>
      <c r="C22" s="20" t="s">
        <v>155</v>
      </c>
      <c r="D22" s="20" t="s">
        <v>102</v>
      </c>
      <c r="E22" s="20" t="s">
        <v>103</v>
      </c>
    </row>
    <row r="26" spans="1:11">
      <c r="A26" t="s">
        <v>156</v>
      </c>
    </row>
    <row r="28" spans="1:11">
      <c r="A28" t="s">
        <v>157</v>
      </c>
      <c r="B28" t="s">
        <v>158</v>
      </c>
    </row>
    <row r="29" spans="1:11" ht="409.6">
      <c r="A29" t="s">
        <v>159</v>
      </c>
      <c r="B29" s="27" t="s">
        <v>160</v>
      </c>
    </row>
  </sheetData>
  <hyperlinks>
    <hyperlink ref="B12" r:id="rId1" xr:uid="{AB209F0D-9D36-4802-A248-7A17D2949BA3}"/>
    <hyperlink ref="B13" r:id="rId2" xr:uid="{B912C6F6-0F37-43A6-B9A9-BA27260117B1}"/>
    <hyperlink ref="B14" r:id="rId3" xr:uid="{3B996115-043B-466D-8CC4-E3812669CEE3}"/>
    <hyperlink ref="B15" r:id="rId4" xr:uid="{72ABBBDB-A80B-4042-94B3-A73D6F6DBB1C}"/>
    <hyperlink ref="B16" r:id="rId5" xr:uid="{BF5DE09A-22CA-4C90-9A23-475387FF71FD}"/>
    <hyperlink ref="B17" r:id="rId6" xr:uid="{240D22FE-0772-41B9-A404-1D270E00DC49}"/>
    <hyperlink ref="B18" r:id="rId7" xr:uid="{8427FB80-B62C-42B2-B87F-2C628E7FF549}"/>
    <hyperlink ref="B19" r:id="rId8" xr:uid="{AC3E7EB8-F97D-4E11-B580-417946BFD4D2}"/>
    <hyperlink ref="B20" r:id="rId9" xr:uid="{421C847F-139C-4F73-878D-F1E31BA4BE6F}"/>
    <hyperlink ref="B21" r:id="rId10" xr:uid="{06C637BB-45EF-4CBC-98F0-D55F46C60DAC}"/>
    <hyperlink ref="B22" r:id="rId11" xr:uid="{AA4C9E88-5A5D-420C-A3D3-C0ECFC5E7BAA}"/>
    <hyperlink ref="C20" r:id="rId12" xr:uid="{04A5F1F9-FC7A-4825-8E4F-C1E319065CC1}"/>
    <hyperlink ref="C15" r:id="rId13" xr:uid="{DC682103-A9EF-4753-9A62-4FB3E96D6256}"/>
    <hyperlink ref="I14" r:id="rId14" xr:uid="{EEE0A772-3CFF-47DA-B0B2-B0D9E3B8867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0DA445842B2246B221F899651C9E3A" ma:contentTypeVersion="18" ma:contentTypeDescription="Create a new document." ma:contentTypeScope="" ma:versionID="92b7237b1b892dac50ee0032cecfe1a7">
  <xsd:schema xmlns:xsd="http://www.w3.org/2001/XMLSchema" xmlns:xs="http://www.w3.org/2001/XMLSchema" xmlns:p="http://schemas.microsoft.com/office/2006/metadata/properties" xmlns:ns3="12783b19-c2ac-404a-a9fb-09fb70a07577" xmlns:ns4="f5a1c28b-1373-4ce1-b2f6-d9b5793322c7" targetNamespace="http://schemas.microsoft.com/office/2006/metadata/properties" ma:root="true" ma:fieldsID="28f3436754ea0edaf41588dde7667f07" ns3:_="" ns4:_="">
    <xsd:import namespace="12783b19-c2ac-404a-a9fb-09fb70a07577"/>
    <xsd:import namespace="f5a1c28b-1373-4ce1-b2f6-d9b5793322c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83b19-c2ac-404a-a9fb-09fb70a075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Location" ma:index="23" nillable="true" ma:displayName="Location" ma:descrip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a1c28b-1373-4ce1-b2f6-d9b5793322c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2783b19-c2ac-404a-a9fb-09fb70a0757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048757-ACA3-44F4-A31B-6A58478AB07D}"/>
</file>

<file path=customXml/itemProps2.xml><?xml version="1.0" encoding="utf-8"?>
<ds:datastoreItem xmlns:ds="http://schemas.openxmlformats.org/officeDocument/2006/customXml" ds:itemID="{86703680-47FD-415B-8950-E51CB71A6132}"/>
</file>

<file path=customXml/itemProps3.xml><?xml version="1.0" encoding="utf-8"?>
<ds:datastoreItem xmlns:ds="http://schemas.openxmlformats.org/officeDocument/2006/customXml" ds:itemID="{0B9355F3-7190-444D-94A6-4B6DA53E4C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Klins</dc:creator>
  <cp:keywords/>
  <dc:description/>
  <cp:lastModifiedBy/>
  <cp:revision/>
  <dcterms:created xsi:type="dcterms:W3CDTF">2026-01-08T19:49:57Z</dcterms:created>
  <dcterms:modified xsi:type="dcterms:W3CDTF">2026-01-12T17:17:25Z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0x010100500DA445842B2246B221F899651C9E3A</vt:lpwstr>
  </property>
</Properties>
</file>